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rka\Documents\Polaris Framework\Polaris App\"/>
    </mc:Choice>
  </mc:AlternateContent>
  <xr:revisionPtr revIDLastSave="0" documentId="8_{B5E7BB8F-B51C-4118-87E5-626AEBF92207}" xr6:coauthVersionLast="47" xr6:coauthVersionMax="47" xr10:uidLastSave="{00000000-0000-0000-0000-000000000000}"/>
  <bookViews>
    <workbookView xWindow="3510" yWindow="3510" windowWidth="21600" windowHeight="11235" activeTab="2" xr2:uid="{FC680AAE-C55A-48D1-AF84-5EB805109AC2}"/>
  </bookViews>
  <sheets>
    <sheet name="Datos Raw" sheetId="1" r:id="rId1"/>
    <sheet name="Calculos" sheetId="2" r:id="rId2"/>
    <sheet name="Instruc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9" i="2" l="1"/>
  <c r="B68" i="2"/>
  <c r="B67" i="2"/>
  <c r="B66" i="2"/>
  <c r="D61" i="2"/>
  <c r="B61" i="2"/>
  <c r="A61" i="2"/>
  <c r="D60" i="2"/>
  <c r="B60" i="2"/>
  <c r="A60" i="2"/>
  <c r="D59" i="2"/>
  <c r="B59" i="2"/>
  <c r="A59" i="2"/>
  <c r="D58" i="2"/>
  <c r="B58" i="2"/>
  <c r="A58" i="2"/>
  <c r="D57" i="2"/>
  <c r="B57" i="2"/>
  <c r="A57" i="2"/>
  <c r="D56" i="2"/>
  <c r="B56" i="2"/>
  <c r="A56" i="2"/>
  <c r="D55" i="2"/>
  <c r="B55" i="2"/>
  <c r="A55" i="2"/>
  <c r="D54" i="2"/>
  <c r="B54" i="2"/>
  <c r="A54" i="2"/>
  <c r="D53" i="2"/>
  <c r="B53" i="2"/>
  <c r="A53" i="2"/>
  <c r="D52" i="2"/>
  <c r="B52" i="2"/>
  <c r="A52" i="2"/>
  <c r="D51" i="2"/>
  <c r="B51" i="2"/>
  <c r="A51" i="2"/>
  <c r="D50" i="2"/>
  <c r="B50" i="2"/>
  <c r="A50" i="2"/>
  <c r="D49" i="2"/>
  <c r="B49" i="2"/>
  <c r="A49" i="2"/>
  <c r="D48" i="2"/>
  <c r="B48" i="2"/>
  <c r="A48" i="2"/>
  <c r="D47" i="2"/>
  <c r="B47" i="2"/>
  <c r="A47" i="2"/>
  <c r="D46" i="2"/>
  <c r="B46" i="2"/>
  <c r="A46" i="2"/>
  <c r="D45" i="2"/>
  <c r="B45" i="2"/>
  <c r="A45" i="2"/>
  <c r="D44" i="2"/>
  <c r="B44" i="2"/>
  <c r="A44" i="2"/>
  <c r="D43" i="2"/>
  <c r="B43" i="2"/>
  <c r="A43" i="2"/>
  <c r="D42" i="2"/>
  <c r="B42" i="2"/>
  <c r="A42" i="2"/>
  <c r="D41" i="2"/>
  <c r="B41" i="2"/>
  <c r="A41" i="2"/>
  <c r="D40" i="2"/>
  <c r="B40" i="2"/>
  <c r="A40" i="2"/>
  <c r="D39" i="2"/>
  <c r="B39" i="2"/>
  <c r="A39" i="2"/>
  <c r="D38" i="2"/>
  <c r="B38" i="2"/>
  <c r="A38" i="2"/>
  <c r="D37" i="2"/>
  <c r="B37" i="2"/>
  <c r="A37" i="2"/>
  <c r="D36" i="2"/>
  <c r="B36" i="2"/>
  <c r="A36" i="2"/>
  <c r="D35" i="2"/>
  <c r="B35" i="2"/>
  <c r="A35" i="2"/>
  <c r="D34" i="2"/>
  <c r="B34" i="2"/>
  <c r="A34" i="2"/>
  <c r="D33" i="2"/>
  <c r="B33" i="2"/>
  <c r="A33" i="2"/>
  <c r="D32" i="2"/>
  <c r="B32" i="2"/>
  <c r="A32" i="2"/>
  <c r="D31" i="2"/>
  <c r="B31" i="2"/>
  <c r="A31" i="2"/>
  <c r="D30" i="2"/>
  <c r="B30" i="2"/>
  <c r="A30" i="2"/>
  <c r="D29" i="2"/>
  <c r="B29" i="2"/>
  <c r="A29" i="2"/>
  <c r="D28" i="2"/>
  <c r="B28" i="2"/>
  <c r="A28" i="2"/>
  <c r="D27" i="2"/>
  <c r="B27" i="2"/>
  <c r="A27" i="2"/>
  <c r="D26" i="2"/>
  <c r="B26" i="2"/>
  <c r="A26" i="2"/>
  <c r="D25" i="2"/>
  <c r="B25" i="2"/>
  <c r="A25" i="2"/>
  <c r="D24" i="2"/>
  <c r="B24" i="2"/>
  <c r="A24" i="2"/>
  <c r="D23" i="2"/>
  <c r="B23" i="2"/>
  <c r="A23" i="2"/>
  <c r="D22" i="2"/>
  <c r="B22" i="2"/>
  <c r="A22" i="2"/>
  <c r="D21" i="2"/>
  <c r="B21" i="2"/>
  <c r="A21" i="2"/>
  <c r="D20" i="2"/>
  <c r="B20" i="2"/>
  <c r="A20" i="2"/>
  <c r="D19" i="2"/>
  <c r="B19" i="2"/>
  <c r="A19" i="2"/>
  <c r="D18" i="2"/>
  <c r="B18" i="2"/>
  <c r="A18" i="2"/>
  <c r="D17" i="2"/>
  <c r="B17" i="2"/>
  <c r="A17" i="2"/>
  <c r="D16" i="2"/>
  <c r="B16" i="2"/>
  <c r="A16" i="2"/>
  <c r="D15" i="2"/>
  <c r="B15" i="2"/>
  <c r="A15" i="2"/>
  <c r="D14" i="2"/>
  <c r="B14" i="2"/>
  <c r="A14" i="2"/>
  <c r="D13" i="2"/>
  <c r="B13" i="2"/>
  <c r="A13" i="2"/>
  <c r="D12" i="2"/>
  <c r="B12" i="2"/>
  <c r="A12" i="2"/>
  <c r="D11" i="2"/>
  <c r="B11" i="2"/>
  <c r="A11" i="2"/>
  <c r="D10" i="2"/>
  <c r="B10" i="2"/>
  <c r="A10" i="2"/>
  <c r="D9" i="2"/>
  <c r="B9" i="2"/>
  <c r="A9" i="2"/>
  <c r="D8" i="2"/>
  <c r="B8" i="2"/>
  <c r="A8" i="2"/>
  <c r="D7" i="2"/>
  <c r="B7" i="2"/>
  <c r="A7" i="2"/>
  <c r="D6" i="2"/>
  <c r="B6" i="2"/>
  <c r="A6" i="2"/>
  <c r="D5" i="2"/>
  <c r="B5" i="2"/>
  <c r="A5" i="2"/>
  <c r="D4" i="2"/>
  <c r="B4" i="2"/>
  <c r="A4" i="2"/>
  <c r="D3" i="2"/>
  <c r="B3" i="2"/>
  <c r="A3" i="2"/>
  <c r="D2" i="2"/>
  <c r="B2" i="2"/>
  <c r="A2" i="2"/>
</calcChain>
</file>

<file path=xl/sharedStrings.xml><?xml version="1.0" encoding="utf-8"?>
<sst xmlns="http://schemas.openxmlformats.org/spreadsheetml/2006/main" count="30" uniqueCount="29">
  <si>
    <t>Fecha</t>
  </si>
  <si>
    <t>EURUSD Cierre</t>
  </si>
  <si>
    <t>ISM PMI USA</t>
  </si>
  <si>
    <t>Retorno EURUSD</t>
  </si>
  <si>
    <t>Delta PMI</t>
  </si>
  <si>
    <t>PMI z-score</t>
  </si>
  <si>
    <t>RESULTADOS DE REGRESION</t>
  </si>
  <si>
    <t>Beta (b) ISM PMI:</t>
  </si>
  <si>
    <t>Alpha (a):</t>
  </si>
  <si>
    <t>R2 (bondad ajuste):</t>
  </si>
  <si>
    <t>Correlacion:</t>
  </si>
  <si>
    <t>Observaciones:</t>
  </si>
  <si>
    <t>b placeholder en modelo:</t>
  </si>
  <si>
    <t>Interpretacion: por cada +1 punto de DPMI, EURUSD se mueve b% mensualmente</t>
  </si>
  <si>
    <t>GUIA — Calibracion Beta ISM PMI vs EURUSD</t>
  </si>
  <si>
    <t>PASO 1 — Descargar EURUSD mensual</t>
  </si>
  <si>
    <t xml:space="preserve">  1. Ve a finance.yahoo.com y busca el simbolo: EURUSD=X</t>
  </si>
  <si>
    <t xml:space="preserve">  2. Haz clic en Historical Data &gt; rango 2020-2025 &gt; frecuencia Monthly</t>
  </si>
  <si>
    <t xml:space="preserve">  3. Descarga CSV y copia columna Close en 'Datos Raw' columna B (desde fila 2)</t>
  </si>
  <si>
    <t>PASO 2 — Descargar ISM PMI USA</t>
  </si>
  <si>
    <t xml:space="preserve">  1. Ve a fred.stlouisfed.org</t>
  </si>
  <si>
    <t xml:space="preserve">  2. Busca la serie: NAPM (ISM Manufacturing PMI)</t>
  </si>
  <si>
    <t xml:space="preserve">  3. Descarga CSV mensual y copia en 'Datos Raw' columna C (mismas fechas)</t>
  </si>
  <si>
    <t>PASO 3 — Leer resultados</t>
  </si>
  <si>
    <t xml:space="preserve">  La hoja 'Calculos' se actualiza sola. Ver seccion RESULTADOS DE REGRESION (fila 65).</t>
  </si>
  <si>
    <t>CRITERIOS DE ACEPTACION</t>
  </si>
  <si>
    <t xml:space="preserve">  R2 &gt; 0.03  -&gt;  el PMI explica algo del movimiento (para 1 variable es suficiente)</t>
  </si>
  <si>
    <t xml:space="preserve">  b placeholder en modelo = 0.04  -&gt;  comparar con tu resultado</t>
  </si>
  <si>
    <t xml:space="preserve">  Si b resultante muy diferente -&gt; actualizar endogenousBetas.js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</si>
</sst>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1F4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3C6F-5F73-4FB6-A1A9-9DFCBBB2AD52}">
  <dimension ref="A1:C61"/>
  <sheetViews>
    <sheetView workbookViewId="0"/>
  </sheetViews>
  <sheetFormatPr baseColWidth="10" defaultRowHeight="15" x14ac:dyDescent="0.25"/>
  <cols>
    <col min="1" max="1" width="14.7109375" customWidth="1"/>
    <col min="2" max="3" width="16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43831</v>
      </c>
    </row>
    <row r="3" spans="1:3" x14ac:dyDescent="0.25">
      <c r="A3" s="3">
        <v>43862</v>
      </c>
    </row>
    <row r="4" spans="1:3" x14ac:dyDescent="0.25">
      <c r="A4" s="3">
        <v>43891</v>
      </c>
    </row>
    <row r="5" spans="1:3" x14ac:dyDescent="0.25">
      <c r="A5" s="3">
        <v>43922</v>
      </c>
    </row>
    <row r="6" spans="1:3" x14ac:dyDescent="0.25">
      <c r="A6" s="3">
        <v>43952</v>
      </c>
    </row>
    <row r="7" spans="1:3" x14ac:dyDescent="0.25">
      <c r="A7" s="3">
        <v>43983</v>
      </c>
    </row>
    <row r="8" spans="1:3" x14ac:dyDescent="0.25">
      <c r="A8" s="3">
        <v>44013</v>
      </c>
    </row>
    <row r="9" spans="1:3" x14ac:dyDescent="0.25">
      <c r="A9" s="3">
        <v>44044</v>
      </c>
    </row>
    <row r="10" spans="1:3" x14ac:dyDescent="0.25">
      <c r="A10" s="3">
        <v>44075</v>
      </c>
    </row>
    <row r="11" spans="1:3" x14ac:dyDescent="0.25">
      <c r="A11" s="3">
        <v>44105</v>
      </c>
    </row>
    <row r="12" spans="1:3" x14ac:dyDescent="0.25">
      <c r="A12" s="3">
        <v>44136</v>
      </c>
    </row>
    <row r="13" spans="1:3" x14ac:dyDescent="0.25">
      <c r="A13" s="3">
        <v>44166</v>
      </c>
    </row>
    <row r="14" spans="1:3" x14ac:dyDescent="0.25">
      <c r="A14" s="3">
        <v>44197</v>
      </c>
    </row>
    <row r="15" spans="1:3" x14ac:dyDescent="0.25">
      <c r="A15" s="3">
        <v>44228</v>
      </c>
    </row>
    <row r="16" spans="1:3" x14ac:dyDescent="0.25">
      <c r="A16" s="3">
        <v>44256</v>
      </c>
    </row>
    <row r="17" spans="1:1" x14ac:dyDescent="0.25">
      <c r="A17" s="3">
        <v>44287</v>
      </c>
    </row>
    <row r="18" spans="1:1" x14ac:dyDescent="0.25">
      <c r="A18" s="3">
        <v>44317</v>
      </c>
    </row>
    <row r="19" spans="1:1" x14ac:dyDescent="0.25">
      <c r="A19" s="3">
        <v>44348</v>
      </c>
    </row>
    <row r="20" spans="1:1" x14ac:dyDescent="0.25">
      <c r="A20" s="3">
        <v>44378</v>
      </c>
    </row>
    <row r="21" spans="1:1" x14ac:dyDescent="0.25">
      <c r="A21" s="3">
        <v>44409</v>
      </c>
    </row>
    <row r="22" spans="1:1" x14ac:dyDescent="0.25">
      <c r="A22" s="3">
        <v>44440</v>
      </c>
    </row>
    <row r="23" spans="1:1" x14ac:dyDescent="0.25">
      <c r="A23" s="3">
        <v>44470</v>
      </c>
    </row>
    <row r="24" spans="1:1" x14ac:dyDescent="0.25">
      <c r="A24" s="3">
        <v>44501</v>
      </c>
    </row>
    <row r="25" spans="1:1" x14ac:dyDescent="0.25">
      <c r="A25" s="3">
        <v>44531</v>
      </c>
    </row>
    <row r="26" spans="1:1" x14ac:dyDescent="0.25">
      <c r="A26" s="3">
        <v>44562</v>
      </c>
    </row>
    <row r="27" spans="1:1" x14ac:dyDescent="0.25">
      <c r="A27" s="3">
        <v>44593</v>
      </c>
    </row>
    <row r="28" spans="1:1" x14ac:dyDescent="0.25">
      <c r="A28" s="3">
        <v>44621</v>
      </c>
    </row>
    <row r="29" spans="1:1" x14ac:dyDescent="0.25">
      <c r="A29" s="3">
        <v>44652</v>
      </c>
    </row>
    <row r="30" spans="1:1" x14ac:dyDescent="0.25">
      <c r="A30" s="3">
        <v>44682</v>
      </c>
    </row>
    <row r="31" spans="1:1" x14ac:dyDescent="0.25">
      <c r="A31" s="3">
        <v>44713</v>
      </c>
    </row>
    <row r="32" spans="1:1" x14ac:dyDescent="0.25">
      <c r="A32" s="3">
        <v>44743</v>
      </c>
    </row>
    <row r="33" spans="1:1" x14ac:dyDescent="0.25">
      <c r="A33" s="3">
        <v>44774</v>
      </c>
    </row>
    <row r="34" spans="1:1" x14ac:dyDescent="0.25">
      <c r="A34" s="3">
        <v>44805</v>
      </c>
    </row>
    <row r="35" spans="1:1" x14ac:dyDescent="0.25">
      <c r="A35" s="3">
        <v>44835</v>
      </c>
    </row>
    <row r="36" spans="1:1" x14ac:dyDescent="0.25">
      <c r="A36" s="3">
        <v>44866</v>
      </c>
    </row>
    <row r="37" spans="1:1" x14ac:dyDescent="0.25">
      <c r="A37" s="3">
        <v>44896</v>
      </c>
    </row>
    <row r="38" spans="1:1" x14ac:dyDescent="0.25">
      <c r="A38" s="3">
        <v>44927</v>
      </c>
    </row>
    <row r="39" spans="1:1" x14ac:dyDescent="0.25">
      <c r="A39" s="3">
        <v>44958</v>
      </c>
    </row>
    <row r="40" spans="1:1" x14ac:dyDescent="0.25">
      <c r="A40" s="3">
        <v>44986</v>
      </c>
    </row>
    <row r="41" spans="1:1" x14ac:dyDescent="0.25">
      <c r="A41" s="3">
        <v>45017</v>
      </c>
    </row>
    <row r="42" spans="1:1" x14ac:dyDescent="0.25">
      <c r="A42" s="3">
        <v>45047</v>
      </c>
    </row>
    <row r="43" spans="1:1" x14ac:dyDescent="0.25">
      <c r="A43" s="3">
        <v>45078</v>
      </c>
    </row>
    <row r="44" spans="1:1" x14ac:dyDescent="0.25">
      <c r="A44" s="3">
        <v>45108</v>
      </c>
    </row>
    <row r="45" spans="1:1" x14ac:dyDescent="0.25">
      <c r="A45" s="3">
        <v>45139</v>
      </c>
    </row>
    <row r="46" spans="1:1" x14ac:dyDescent="0.25">
      <c r="A46" s="3">
        <v>45170</v>
      </c>
    </row>
    <row r="47" spans="1:1" x14ac:dyDescent="0.25">
      <c r="A47" s="3">
        <v>45200</v>
      </c>
    </row>
    <row r="48" spans="1:1" x14ac:dyDescent="0.25">
      <c r="A48" s="3">
        <v>45231</v>
      </c>
    </row>
    <row r="49" spans="1:1" x14ac:dyDescent="0.25">
      <c r="A49" s="3">
        <v>45261</v>
      </c>
    </row>
    <row r="50" spans="1:1" x14ac:dyDescent="0.25">
      <c r="A50" s="3">
        <v>45292</v>
      </c>
    </row>
    <row r="51" spans="1:1" x14ac:dyDescent="0.25">
      <c r="A51" s="3">
        <v>45323</v>
      </c>
    </row>
    <row r="52" spans="1:1" x14ac:dyDescent="0.25">
      <c r="A52" s="3">
        <v>45352</v>
      </c>
    </row>
    <row r="53" spans="1:1" x14ac:dyDescent="0.25">
      <c r="A53" s="3">
        <v>45383</v>
      </c>
    </row>
    <row r="54" spans="1:1" x14ac:dyDescent="0.25">
      <c r="A54" s="3">
        <v>45413</v>
      </c>
    </row>
    <row r="55" spans="1:1" x14ac:dyDescent="0.25">
      <c r="A55" s="3">
        <v>45444</v>
      </c>
    </row>
    <row r="56" spans="1:1" x14ac:dyDescent="0.25">
      <c r="A56" s="3">
        <v>45474</v>
      </c>
    </row>
    <row r="57" spans="1:1" x14ac:dyDescent="0.25">
      <c r="A57" s="3">
        <v>45505</v>
      </c>
    </row>
    <row r="58" spans="1:1" x14ac:dyDescent="0.25">
      <c r="A58" s="3">
        <v>45536</v>
      </c>
    </row>
    <row r="59" spans="1:1" x14ac:dyDescent="0.25">
      <c r="A59" s="3">
        <v>45566</v>
      </c>
    </row>
    <row r="60" spans="1:1" x14ac:dyDescent="0.25">
      <c r="A60" s="3">
        <v>45597</v>
      </c>
    </row>
    <row r="61" spans="1:1" x14ac:dyDescent="0.25">
      <c r="A61" s="3">
        <v>45627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8366-55A0-41D4-9380-DA16D4669ED1}">
  <dimension ref="A1:D73"/>
  <sheetViews>
    <sheetView workbookViewId="0"/>
  </sheetViews>
  <sheetFormatPr baseColWidth="10" defaultRowHeight="15" x14ac:dyDescent="0.25"/>
  <cols>
    <col min="1" max="1" width="22.7109375" customWidth="1"/>
    <col min="2" max="2" width="18.7109375" customWidth="1"/>
    <col min="3" max="3" width="12.7109375" customWidth="1"/>
    <col min="4" max="4" width="14.7109375" customWidth="1"/>
  </cols>
  <sheetData>
    <row r="1" spans="1:4" x14ac:dyDescent="0.25">
      <c r="A1" s="4" t="s">
        <v>0</v>
      </c>
      <c r="B1" s="4" t="s">
        <v>3</v>
      </c>
      <c r="C1" s="4" t="s">
        <v>4</v>
      </c>
      <c r="D1" s="4" t="s">
        <v>5</v>
      </c>
    </row>
    <row r="2" spans="1:4" x14ac:dyDescent="0.25">
      <c r="A2" s="3">
        <f>'Datos Raw'!A3</f>
        <v>43862</v>
      </c>
      <c r="B2" t="str">
        <f>IF(OR(ISBLANK('Datos Raw'!B3),ISBLANK('Datos Raw'!B2)),"",LN('Datos Raw'!B3/'Datos Raw'!B2))</f>
        <v/>
      </c>
      <c r="D2" t="str">
        <f>IF(C2="","",(C2-AVERAGE($C$2:$C$61))/STDEV($C$2:$C$61))</f>
        <v/>
      </c>
    </row>
    <row r="3" spans="1:4" x14ac:dyDescent="0.25">
      <c r="A3" s="3">
        <f>'Datos Raw'!A4</f>
        <v>43891</v>
      </c>
      <c r="B3" t="str">
        <f>IF(OR(ISBLANK('Datos Raw'!B4),ISBLANK('Datos Raw'!B3)),"",LN('Datos Raw'!B4/'Datos Raw'!B3))</f>
        <v/>
      </c>
      <c r="D3" t="str">
        <f>IF(C3="","",(C3-AVERAGE($C$2:$C$61))/STDEV($C$2:$C$61))</f>
        <v/>
      </c>
    </row>
    <row r="4" spans="1:4" x14ac:dyDescent="0.25">
      <c r="A4" s="3">
        <f>'Datos Raw'!A5</f>
        <v>43922</v>
      </c>
      <c r="B4" t="str">
        <f>IF(OR(ISBLANK('Datos Raw'!B5),ISBLANK('Datos Raw'!B4)),"",LN('Datos Raw'!B5/'Datos Raw'!B4))</f>
        <v/>
      </c>
      <c r="D4" t="str">
        <f>IF(C4="","",(C4-AVERAGE($C$2:$C$61))/STDEV($C$2:$C$61))</f>
        <v/>
      </c>
    </row>
    <row r="5" spans="1:4" x14ac:dyDescent="0.25">
      <c r="A5" s="3">
        <f>'Datos Raw'!A6</f>
        <v>43952</v>
      </c>
      <c r="B5" t="str">
        <f>IF(OR(ISBLANK('Datos Raw'!B6),ISBLANK('Datos Raw'!B5)),"",LN('Datos Raw'!B6/'Datos Raw'!B5))</f>
        <v/>
      </c>
      <c r="D5" t="str">
        <f>IF(C5="","",(C5-AVERAGE($C$2:$C$61))/STDEV($C$2:$C$61))</f>
        <v/>
      </c>
    </row>
    <row r="6" spans="1:4" x14ac:dyDescent="0.25">
      <c r="A6" s="3">
        <f>'Datos Raw'!A7</f>
        <v>43983</v>
      </c>
      <c r="B6" t="str">
        <f>IF(OR(ISBLANK('Datos Raw'!B7),ISBLANK('Datos Raw'!B6)),"",LN('Datos Raw'!B7/'Datos Raw'!B6))</f>
        <v/>
      </c>
      <c r="D6" t="str">
        <f>IF(C6="","",(C6-AVERAGE($C$2:$C$61))/STDEV($C$2:$C$61))</f>
        <v/>
      </c>
    </row>
    <row r="7" spans="1:4" x14ac:dyDescent="0.25">
      <c r="A7" s="3">
        <f>'Datos Raw'!A8</f>
        <v>44013</v>
      </c>
      <c r="B7" t="str">
        <f>IF(OR(ISBLANK('Datos Raw'!B8),ISBLANK('Datos Raw'!B7)),"",LN('Datos Raw'!B8/'Datos Raw'!B7))</f>
        <v/>
      </c>
      <c r="D7" t="str">
        <f>IF(C7="","",(C7-AVERAGE($C$2:$C$61))/STDEV($C$2:$C$61))</f>
        <v/>
      </c>
    </row>
    <row r="8" spans="1:4" x14ac:dyDescent="0.25">
      <c r="A8" s="3">
        <f>'Datos Raw'!A9</f>
        <v>44044</v>
      </c>
      <c r="B8" t="str">
        <f>IF(OR(ISBLANK('Datos Raw'!B9),ISBLANK('Datos Raw'!B8)),"",LN('Datos Raw'!B9/'Datos Raw'!B8))</f>
        <v/>
      </c>
      <c r="D8" t="str">
        <f>IF(C8="","",(C8-AVERAGE($C$2:$C$61))/STDEV($C$2:$C$61))</f>
        <v/>
      </c>
    </row>
    <row r="9" spans="1:4" x14ac:dyDescent="0.25">
      <c r="A9" s="3">
        <f>'Datos Raw'!A10</f>
        <v>44075</v>
      </c>
      <c r="B9" t="str">
        <f>IF(OR(ISBLANK('Datos Raw'!B10),ISBLANK('Datos Raw'!B9)),"",LN('Datos Raw'!B10/'Datos Raw'!B9))</f>
        <v/>
      </c>
      <c r="D9" t="str">
        <f>IF(C9="","",(C9-AVERAGE($C$2:$C$61))/STDEV($C$2:$C$61))</f>
        <v/>
      </c>
    </row>
    <row r="10" spans="1:4" x14ac:dyDescent="0.25">
      <c r="A10" s="3">
        <f>'Datos Raw'!A11</f>
        <v>44105</v>
      </c>
      <c r="B10" t="str">
        <f>IF(OR(ISBLANK('Datos Raw'!B11),ISBLANK('Datos Raw'!B10)),"",LN('Datos Raw'!B11/'Datos Raw'!B10))</f>
        <v/>
      </c>
      <c r="D10" t="str">
        <f>IF(C10="","",(C10-AVERAGE($C$2:$C$61))/STDEV($C$2:$C$61))</f>
        <v/>
      </c>
    </row>
    <row r="11" spans="1:4" x14ac:dyDescent="0.25">
      <c r="A11" s="3">
        <f>'Datos Raw'!A12</f>
        <v>44136</v>
      </c>
      <c r="B11" t="str">
        <f>IF(OR(ISBLANK('Datos Raw'!B12),ISBLANK('Datos Raw'!B11)),"",LN('Datos Raw'!B12/'Datos Raw'!B11))</f>
        <v/>
      </c>
      <c r="D11" t="str">
        <f>IF(C11="","",(C11-AVERAGE($C$2:$C$61))/STDEV($C$2:$C$61))</f>
        <v/>
      </c>
    </row>
    <row r="12" spans="1:4" x14ac:dyDescent="0.25">
      <c r="A12" s="3">
        <f>'Datos Raw'!A13</f>
        <v>44166</v>
      </c>
      <c r="B12" t="str">
        <f>IF(OR(ISBLANK('Datos Raw'!B13),ISBLANK('Datos Raw'!B12)),"",LN('Datos Raw'!B13/'Datos Raw'!B12))</f>
        <v/>
      </c>
      <c r="D12" t="str">
        <f>IF(C12="","",(C12-AVERAGE($C$2:$C$61))/STDEV($C$2:$C$61))</f>
        <v/>
      </c>
    </row>
    <row r="13" spans="1:4" x14ac:dyDescent="0.25">
      <c r="A13" s="3">
        <f>'Datos Raw'!A14</f>
        <v>44197</v>
      </c>
      <c r="B13" t="str">
        <f>IF(OR(ISBLANK('Datos Raw'!B14),ISBLANK('Datos Raw'!B13)),"",LN('Datos Raw'!B14/'Datos Raw'!B13))</f>
        <v/>
      </c>
      <c r="D13" t="str">
        <f>IF(C13="","",(C13-AVERAGE($C$2:$C$61))/STDEV($C$2:$C$61))</f>
        <v/>
      </c>
    </row>
    <row r="14" spans="1:4" x14ac:dyDescent="0.25">
      <c r="A14" s="3">
        <f>'Datos Raw'!A15</f>
        <v>44228</v>
      </c>
      <c r="B14" t="str">
        <f>IF(OR(ISBLANK('Datos Raw'!B15),ISBLANK('Datos Raw'!B14)),"",LN('Datos Raw'!B15/'Datos Raw'!B14))</f>
        <v/>
      </c>
      <c r="D14" t="str">
        <f>IF(C14="","",(C14-AVERAGE($C$2:$C$61))/STDEV($C$2:$C$61))</f>
        <v/>
      </c>
    </row>
    <row r="15" spans="1:4" x14ac:dyDescent="0.25">
      <c r="A15" s="3">
        <f>'Datos Raw'!A16</f>
        <v>44256</v>
      </c>
      <c r="B15" t="str">
        <f>IF(OR(ISBLANK('Datos Raw'!B16),ISBLANK('Datos Raw'!B15)),"",LN('Datos Raw'!B16/'Datos Raw'!B15))</f>
        <v/>
      </c>
      <c r="D15" t="str">
        <f>IF(C15="","",(C15-AVERAGE($C$2:$C$61))/STDEV($C$2:$C$61))</f>
        <v/>
      </c>
    </row>
    <row r="16" spans="1:4" x14ac:dyDescent="0.25">
      <c r="A16" s="3">
        <f>'Datos Raw'!A17</f>
        <v>44287</v>
      </c>
      <c r="B16" t="str">
        <f>IF(OR(ISBLANK('Datos Raw'!B17),ISBLANK('Datos Raw'!B16)),"",LN('Datos Raw'!B17/'Datos Raw'!B16))</f>
        <v/>
      </c>
      <c r="D16" t="str">
        <f>IF(C16="","",(C16-AVERAGE($C$2:$C$61))/STDEV($C$2:$C$61))</f>
        <v/>
      </c>
    </row>
    <row r="17" spans="1:4" x14ac:dyDescent="0.25">
      <c r="A17" s="3">
        <f>'Datos Raw'!A18</f>
        <v>44317</v>
      </c>
      <c r="B17" t="str">
        <f>IF(OR(ISBLANK('Datos Raw'!B18),ISBLANK('Datos Raw'!B17)),"",LN('Datos Raw'!B18/'Datos Raw'!B17))</f>
        <v/>
      </c>
      <c r="D17" t="str">
        <f>IF(C17="","",(C17-AVERAGE($C$2:$C$61))/STDEV($C$2:$C$61))</f>
        <v/>
      </c>
    </row>
    <row r="18" spans="1:4" x14ac:dyDescent="0.25">
      <c r="A18" s="3">
        <f>'Datos Raw'!A19</f>
        <v>44348</v>
      </c>
      <c r="B18" t="str">
        <f>IF(OR(ISBLANK('Datos Raw'!B19),ISBLANK('Datos Raw'!B18)),"",LN('Datos Raw'!B19/'Datos Raw'!B18))</f>
        <v/>
      </c>
      <c r="D18" t="str">
        <f>IF(C18="","",(C18-AVERAGE($C$2:$C$61))/STDEV($C$2:$C$61))</f>
        <v/>
      </c>
    </row>
    <row r="19" spans="1:4" x14ac:dyDescent="0.25">
      <c r="A19" s="3">
        <f>'Datos Raw'!A20</f>
        <v>44378</v>
      </c>
      <c r="B19" t="str">
        <f>IF(OR(ISBLANK('Datos Raw'!B20),ISBLANK('Datos Raw'!B19)),"",LN('Datos Raw'!B20/'Datos Raw'!B19))</f>
        <v/>
      </c>
      <c r="D19" t="str">
        <f>IF(C19="","",(C19-AVERAGE($C$2:$C$61))/STDEV($C$2:$C$61))</f>
        <v/>
      </c>
    </row>
    <row r="20" spans="1:4" x14ac:dyDescent="0.25">
      <c r="A20" s="3">
        <f>'Datos Raw'!A21</f>
        <v>44409</v>
      </c>
      <c r="B20" t="str">
        <f>IF(OR(ISBLANK('Datos Raw'!B21),ISBLANK('Datos Raw'!B20)),"",LN('Datos Raw'!B21/'Datos Raw'!B20))</f>
        <v/>
      </c>
      <c r="D20" t="str">
        <f>IF(C20="","",(C20-AVERAGE($C$2:$C$61))/STDEV($C$2:$C$61))</f>
        <v/>
      </c>
    </row>
    <row r="21" spans="1:4" x14ac:dyDescent="0.25">
      <c r="A21" s="3">
        <f>'Datos Raw'!A22</f>
        <v>44440</v>
      </c>
      <c r="B21" t="str">
        <f>IF(OR(ISBLANK('Datos Raw'!B22),ISBLANK('Datos Raw'!B21)),"",LN('Datos Raw'!B22/'Datos Raw'!B21))</f>
        <v/>
      </c>
      <c r="D21" t="str">
        <f>IF(C21="","",(C21-AVERAGE($C$2:$C$61))/STDEV($C$2:$C$61))</f>
        <v/>
      </c>
    </row>
    <row r="22" spans="1:4" x14ac:dyDescent="0.25">
      <c r="A22" s="3">
        <f>'Datos Raw'!A23</f>
        <v>44470</v>
      </c>
      <c r="B22" t="str">
        <f>IF(OR(ISBLANK('Datos Raw'!B23),ISBLANK('Datos Raw'!B22)),"",LN('Datos Raw'!B23/'Datos Raw'!B22))</f>
        <v/>
      </c>
      <c r="D22" t="str">
        <f>IF(C22="","",(C22-AVERAGE($C$2:$C$61))/STDEV($C$2:$C$61))</f>
        <v/>
      </c>
    </row>
    <row r="23" spans="1:4" x14ac:dyDescent="0.25">
      <c r="A23" s="3">
        <f>'Datos Raw'!A24</f>
        <v>44501</v>
      </c>
      <c r="B23" t="str">
        <f>IF(OR(ISBLANK('Datos Raw'!B24),ISBLANK('Datos Raw'!B23)),"",LN('Datos Raw'!B24/'Datos Raw'!B23))</f>
        <v/>
      </c>
      <c r="D23" t="str">
        <f>IF(C23="","",(C23-AVERAGE($C$2:$C$61))/STDEV($C$2:$C$61))</f>
        <v/>
      </c>
    </row>
    <row r="24" spans="1:4" x14ac:dyDescent="0.25">
      <c r="A24" s="3">
        <f>'Datos Raw'!A25</f>
        <v>44531</v>
      </c>
      <c r="B24" t="str">
        <f>IF(OR(ISBLANK('Datos Raw'!B25),ISBLANK('Datos Raw'!B24)),"",LN('Datos Raw'!B25/'Datos Raw'!B24))</f>
        <v/>
      </c>
      <c r="D24" t="str">
        <f>IF(C24="","",(C24-AVERAGE($C$2:$C$61))/STDEV($C$2:$C$61))</f>
        <v/>
      </c>
    </row>
    <row r="25" spans="1:4" x14ac:dyDescent="0.25">
      <c r="A25" s="3">
        <f>'Datos Raw'!A26</f>
        <v>44562</v>
      </c>
      <c r="B25" t="str">
        <f>IF(OR(ISBLANK('Datos Raw'!B26),ISBLANK('Datos Raw'!B25)),"",LN('Datos Raw'!B26/'Datos Raw'!B25))</f>
        <v/>
      </c>
      <c r="D25" t="str">
        <f>IF(C25="","",(C25-AVERAGE($C$2:$C$61))/STDEV($C$2:$C$61))</f>
        <v/>
      </c>
    </row>
    <row r="26" spans="1:4" x14ac:dyDescent="0.25">
      <c r="A26" s="3">
        <f>'Datos Raw'!A27</f>
        <v>44593</v>
      </c>
      <c r="B26" t="str">
        <f>IF(OR(ISBLANK('Datos Raw'!B27),ISBLANK('Datos Raw'!B26)),"",LN('Datos Raw'!B27/'Datos Raw'!B26))</f>
        <v/>
      </c>
      <c r="D26" t="str">
        <f>IF(C26="","",(C26-AVERAGE($C$2:$C$61))/STDEV($C$2:$C$61))</f>
        <v/>
      </c>
    </row>
    <row r="27" spans="1:4" x14ac:dyDescent="0.25">
      <c r="A27" s="3">
        <f>'Datos Raw'!A28</f>
        <v>44621</v>
      </c>
      <c r="B27" t="str">
        <f>IF(OR(ISBLANK('Datos Raw'!B28),ISBLANK('Datos Raw'!B27)),"",LN('Datos Raw'!B28/'Datos Raw'!B27))</f>
        <v/>
      </c>
      <c r="D27" t="str">
        <f>IF(C27="","",(C27-AVERAGE($C$2:$C$61))/STDEV($C$2:$C$61))</f>
        <v/>
      </c>
    </row>
    <row r="28" spans="1:4" x14ac:dyDescent="0.25">
      <c r="A28" s="3">
        <f>'Datos Raw'!A29</f>
        <v>44652</v>
      </c>
      <c r="B28" t="str">
        <f>IF(OR(ISBLANK('Datos Raw'!B29),ISBLANK('Datos Raw'!B28)),"",LN('Datos Raw'!B29/'Datos Raw'!B28))</f>
        <v/>
      </c>
      <c r="D28" t="str">
        <f>IF(C28="","",(C28-AVERAGE($C$2:$C$61))/STDEV($C$2:$C$61))</f>
        <v/>
      </c>
    </row>
    <row r="29" spans="1:4" x14ac:dyDescent="0.25">
      <c r="A29" s="3">
        <f>'Datos Raw'!A30</f>
        <v>44682</v>
      </c>
      <c r="B29" t="str">
        <f>IF(OR(ISBLANK('Datos Raw'!B30),ISBLANK('Datos Raw'!B29)),"",LN('Datos Raw'!B30/'Datos Raw'!B29))</f>
        <v/>
      </c>
      <c r="D29" t="str">
        <f>IF(C29="","",(C29-AVERAGE($C$2:$C$61))/STDEV($C$2:$C$61))</f>
        <v/>
      </c>
    </row>
    <row r="30" spans="1:4" x14ac:dyDescent="0.25">
      <c r="A30" s="3">
        <f>'Datos Raw'!A31</f>
        <v>44713</v>
      </c>
      <c r="B30" t="str">
        <f>IF(OR(ISBLANK('Datos Raw'!B31),ISBLANK('Datos Raw'!B30)),"",LN('Datos Raw'!B31/'Datos Raw'!B30))</f>
        <v/>
      </c>
      <c r="D30" t="str">
        <f>IF(C30="","",(C30-AVERAGE($C$2:$C$61))/STDEV($C$2:$C$61))</f>
        <v/>
      </c>
    </row>
    <row r="31" spans="1:4" x14ac:dyDescent="0.25">
      <c r="A31" s="3">
        <f>'Datos Raw'!A32</f>
        <v>44743</v>
      </c>
      <c r="B31" t="str">
        <f>IF(OR(ISBLANK('Datos Raw'!B32),ISBLANK('Datos Raw'!B31)),"",LN('Datos Raw'!B32/'Datos Raw'!B31))</f>
        <v/>
      </c>
      <c r="D31" t="str">
        <f>IF(C31="","",(C31-AVERAGE($C$2:$C$61))/STDEV($C$2:$C$61))</f>
        <v/>
      </c>
    </row>
    <row r="32" spans="1:4" x14ac:dyDescent="0.25">
      <c r="A32" s="3">
        <f>'Datos Raw'!A33</f>
        <v>44774</v>
      </c>
      <c r="B32" t="str">
        <f>IF(OR(ISBLANK('Datos Raw'!B33),ISBLANK('Datos Raw'!B32)),"",LN('Datos Raw'!B33/'Datos Raw'!B32))</f>
        <v/>
      </c>
      <c r="D32" t="str">
        <f>IF(C32="","",(C32-AVERAGE($C$2:$C$61))/STDEV($C$2:$C$61))</f>
        <v/>
      </c>
    </row>
    <row r="33" spans="1:4" x14ac:dyDescent="0.25">
      <c r="A33" s="3">
        <f>'Datos Raw'!A34</f>
        <v>44805</v>
      </c>
      <c r="B33" t="str">
        <f>IF(OR(ISBLANK('Datos Raw'!B34),ISBLANK('Datos Raw'!B33)),"",LN('Datos Raw'!B34/'Datos Raw'!B33))</f>
        <v/>
      </c>
      <c r="D33" t="str">
        <f>IF(C33="","",(C33-AVERAGE($C$2:$C$61))/STDEV($C$2:$C$61))</f>
        <v/>
      </c>
    </row>
    <row r="34" spans="1:4" x14ac:dyDescent="0.25">
      <c r="A34" s="3">
        <f>'Datos Raw'!A35</f>
        <v>44835</v>
      </c>
      <c r="B34" t="str">
        <f>IF(OR(ISBLANK('Datos Raw'!B35),ISBLANK('Datos Raw'!B34)),"",LN('Datos Raw'!B35/'Datos Raw'!B34))</f>
        <v/>
      </c>
      <c r="D34" t="str">
        <f>IF(C34="","",(C34-AVERAGE($C$2:$C$61))/STDEV($C$2:$C$61))</f>
        <v/>
      </c>
    </row>
    <row r="35" spans="1:4" x14ac:dyDescent="0.25">
      <c r="A35" s="3">
        <f>'Datos Raw'!A36</f>
        <v>44866</v>
      </c>
      <c r="B35" t="str">
        <f>IF(OR(ISBLANK('Datos Raw'!B36),ISBLANK('Datos Raw'!B35)),"",LN('Datos Raw'!B36/'Datos Raw'!B35))</f>
        <v/>
      </c>
      <c r="D35" t="str">
        <f>IF(C35="","",(C35-AVERAGE($C$2:$C$61))/STDEV($C$2:$C$61))</f>
        <v/>
      </c>
    </row>
    <row r="36" spans="1:4" x14ac:dyDescent="0.25">
      <c r="A36" s="3">
        <f>'Datos Raw'!A37</f>
        <v>44896</v>
      </c>
      <c r="B36" t="str">
        <f>IF(OR(ISBLANK('Datos Raw'!B37),ISBLANK('Datos Raw'!B36)),"",LN('Datos Raw'!B37/'Datos Raw'!B36))</f>
        <v/>
      </c>
      <c r="D36" t="str">
        <f>IF(C36="","",(C36-AVERAGE($C$2:$C$61))/STDEV($C$2:$C$61))</f>
        <v/>
      </c>
    </row>
    <row r="37" spans="1:4" x14ac:dyDescent="0.25">
      <c r="A37" s="3">
        <f>'Datos Raw'!A38</f>
        <v>44927</v>
      </c>
      <c r="B37" t="str">
        <f>IF(OR(ISBLANK('Datos Raw'!B38),ISBLANK('Datos Raw'!B37)),"",LN('Datos Raw'!B38/'Datos Raw'!B37))</f>
        <v/>
      </c>
      <c r="D37" t="str">
        <f>IF(C37="","",(C37-AVERAGE($C$2:$C$61))/STDEV($C$2:$C$61))</f>
        <v/>
      </c>
    </row>
    <row r="38" spans="1:4" x14ac:dyDescent="0.25">
      <c r="A38" s="3">
        <f>'Datos Raw'!A39</f>
        <v>44958</v>
      </c>
      <c r="B38" t="str">
        <f>IF(OR(ISBLANK('Datos Raw'!B39),ISBLANK('Datos Raw'!B38)),"",LN('Datos Raw'!B39/'Datos Raw'!B38))</f>
        <v/>
      </c>
      <c r="D38" t="str">
        <f>IF(C38="","",(C38-AVERAGE($C$2:$C$61))/STDEV($C$2:$C$61))</f>
        <v/>
      </c>
    </row>
    <row r="39" spans="1:4" x14ac:dyDescent="0.25">
      <c r="A39" s="3">
        <f>'Datos Raw'!A40</f>
        <v>44986</v>
      </c>
      <c r="B39" t="str">
        <f>IF(OR(ISBLANK('Datos Raw'!B40),ISBLANK('Datos Raw'!B39)),"",LN('Datos Raw'!B40/'Datos Raw'!B39))</f>
        <v/>
      </c>
      <c r="D39" t="str">
        <f>IF(C39="","",(C39-AVERAGE($C$2:$C$61))/STDEV($C$2:$C$61))</f>
        <v/>
      </c>
    </row>
    <row r="40" spans="1:4" x14ac:dyDescent="0.25">
      <c r="A40" s="3">
        <f>'Datos Raw'!A41</f>
        <v>45017</v>
      </c>
      <c r="B40" t="str">
        <f>IF(OR(ISBLANK('Datos Raw'!B41),ISBLANK('Datos Raw'!B40)),"",LN('Datos Raw'!B41/'Datos Raw'!B40))</f>
        <v/>
      </c>
      <c r="D40" t="str">
        <f>IF(C40="","",(C40-AVERAGE($C$2:$C$61))/STDEV($C$2:$C$61))</f>
        <v/>
      </c>
    </row>
    <row r="41" spans="1:4" x14ac:dyDescent="0.25">
      <c r="A41" s="3">
        <f>'Datos Raw'!A42</f>
        <v>45047</v>
      </c>
      <c r="B41" t="str">
        <f>IF(OR(ISBLANK('Datos Raw'!B42),ISBLANK('Datos Raw'!B41)),"",LN('Datos Raw'!B42/'Datos Raw'!B41))</f>
        <v/>
      </c>
      <c r="D41" t="str">
        <f>IF(C41="","",(C41-AVERAGE($C$2:$C$61))/STDEV($C$2:$C$61))</f>
        <v/>
      </c>
    </row>
    <row r="42" spans="1:4" x14ac:dyDescent="0.25">
      <c r="A42" s="3">
        <f>'Datos Raw'!A43</f>
        <v>45078</v>
      </c>
      <c r="B42" t="str">
        <f>IF(OR(ISBLANK('Datos Raw'!B43),ISBLANK('Datos Raw'!B42)),"",LN('Datos Raw'!B43/'Datos Raw'!B42))</f>
        <v/>
      </c>
      <c r="D42" t="str">
        <f>IF(C42="","",(C42-AVERAGE($C$2:$C$61))/STDEV($C$2:$C$61))</f>
        <v/>
      </c>
    </row>
    <row r="43" spans="1:4" x14ac:dyDescent="0.25">
      <c r="A43" s="3">
        <f>'Datos Raw'!A44</f>
        <v>45108</v>
      </c>
      <c r="B43" t="str">
        <f>IF(OR(ISBLANK('Datos Raw'!B44),ISBLANK('Datos Raw'!B43)),"",LN('Datos Raw'!B44/'Datos Raw'!B43))</f>
        <v/>
      </c>
      <c r="D43" t="str">
        <f>IF(C43="","",(C43-AVERAGE($C$2:$C$61))/STDEV($C$2:$C$61))</f>
        <v/>
      </c>
    </row>
    <row r="44" spans="1:4" x14ac:dyDescent="0.25">
      <c r="A44" s="3">
        <f>'Datos Raw'!A45</f>
        <v>45139</v>
      </c>
      <c r="B44" t="str">
        <f>IF(OR(ISBLANK('Datos Raw'!B45),ISBLANK('Datos Raw'!B44)),"",LN('Datos Raw'!B45/'Datos Raw'!B44))</f>
        <v/>
      </c>
      <c r="D44" t="str">
        <f>IF(C44="","",(C44-AVERAGE($C$2:$C$61))/STDEV($C$2:$C$61))</f>
        <v/>
      </c>
    </row>
    <row r="45" spans="1:4" x14ac:dyDescent="0.25">
      <c r="A45" s="3">
        <f>'Datos Raw'!A46</f>
        <v>45170</v>
      </c>
      <c r="B45" t="str">
        <f>IF(OR(ISBLANK('Datos Raw'!B46),ISBLANK('Datos Raw'!B45)),"",LN('Datos Raw'!B46/'Datos Raw'!B45))</f>
        <v/>
      </c>
      <c r="D45" t="str">
        <f>IF(C45="","",(C45-AVERAGE($C$2:$C$61))/STDEV($C$2:$C$61))</f>
        <v/>
      </c>
    </row>
    <row r="46" spans="1:4" x14ac:dyDescent="0.25">
      <c r="A46" s="3">
        <f>'Datos Raw'!A47</f>
        <v>45200</v>
      </c>
      <c r="B46" t="str">
        <f>IF(OR(ISBLANK('Datos Raw'!B47),ISBLANK('Datos Raw'!B46)),"",LN('Datos Raw'!B47/'Datos Raw'!B46))</f>
        <v/>
      </c>
      <c r="D46" t="str">
        <f>IF(C46="","",(C46-AVERAGE($C$2:$C$61))/STDEV($C$2:$C$61))</f>
        <v/>
      </c>
    </row>
    <row r="47" spans="1:4" x14ac:dyDescent="0.25">
      <c r="A47" s="3">
        <f>'Datos Raw'!A48</f>
        <v>45231</v>
      </c>
      <c r="B47" t="str">
        <f>IF(OR(ISBLANK('Datos Raw'!B48),ISBLANK('Datos Raw'!B47)),"",LN('Datos Raw'!B48/'Datos Raw'!B47))</f>
        <v/>
      </c>
      <c r="D47" t="str">
        <f>IF(C47="","",(C47-AVERAGE($C$2:$C$61))/STDEV($C$2:$C$61))</f>
        <v/>
      </c>
    </row>
    <row r="48" spans="1:4" x14ac:dyDescent="0.25">
      <c r="A48" s="3">
        <f>'Datos Raw'!A49</f>
        <v>45261</v>
      </c>
      <c r="B48" t="str">
        <f>IF(OR(ISBLANK('Datos Raw'!B49),ISBLANK('Datos Raw'!B48)),"",LN('Datos Raw'!B49/'Datos Raw'!B48))</f>
        <v/>
      </c>
      <c r="D48" t="str">
        <f>IF(C48="","",(C48-AVERAGE($C$2:$C$61))/STDEV($C$2:$C$61))</f>
        <v/>
      </c>
    </row>
    <row r="49" spans="1:4" x14ac:dyDescent="0.25">
      <c r="A49" s="3">
        <f>'Datos Raw'!A50</f>
        <v>45292</v>
      </c>
      <c r="B49" t="str">
        <f>IF(OR(ISBLANK('Datos Raw'!B50),ISBLANK('Datos Raw'!B49)),"",LN('Datos Raw'!B50/'Datos Raw'!B49))</f>
        <v/>
      </c>
      <c r="D49" t="str">
        <f>IF(C49="","",(C49-AVERAGE($C$2:$C$61))/STDEV($C$2:$C$61))</f>
        <v/>
      </c>
    </row>
    <row r="50" spans="1:4" x14ac:dyDescent="0.25">
      <c r="A50" s="3">
        <f>'Datos Raw'!A51</f>
        <v>45323</v>
      </c>
      <c r="B50" t="str">
        <f>IF(OR(ISBLANK('Datos Raw'!B51),ISBLANK('Datos Raw'!B50)),"",LN('Datos Raw'!B51/'Datos Raw'!B50))</f>
        <v/>
      </c>
      <c r="D50" t="str">
        <f>IF(C50="","",(C50-AVERAGE($C$2:$C$61))/STDEV($C$2:$C$61))</f>
        <v/>
      </c>
    </row>
    <row r="51" spans="1:4" x14ac:dyDescent="0.25">
      <c r="A51" s="3">
        <f>'Datos Raw'!A52</f>
        <v>45352</v>
      </c>
      <c r="B51" t="str">
        <f>IF(OR(ISBLANK('Datos Raw'!B52),ISBLANK('Datos Raw'!B51)),"",LN('Datos Raw'!B52/'Datos Raw'!B51))</f>
        <v/>
      </c>
      <c r="D51" t="str">
        <f>IF(C51="","",(C51-AVERAGE($C$2:$C$61))/STDEV($C$2:$C$61))</f>
        <v/>
      </c>
    </row>
    <row r="52" spans="1:4" x14ac:dyDescent="0.25">
      <c r="A52" s="3">
        <f>'Datos Raw'!A53</f>
        <v>45383</v>
      </c>
      <c r="B52" t="str">
        <f>IF(OR(ISBLANK('Datos Raw'!B53),ISBLANK('Datos Raw'!B52)),"",LN('Datos Raw'!B53/'Datos Raw'!B52))</f>
        <v/>
      </c>
      <c r="D52" t="str">
        <f>IF(C52="","",(C52-AVERAGE($C$2:$C$61))/STDEV($C$2:$C$61))</f>
        <v/>
      </c>
    </row>
    <row r="53" spans="1:4" x14ac:dyDescent="0.25">
      <c r="A53" s="3">
        <f>'Datos Raw'!A54</f>
        <v>45413</v>
      </c>
      <c r="B53" t="str">
        <f>IF(OR(ISBLANK('Datos Raw'!B54),ISBLANK('Datos Raw'!B53)),"",LN('Datos Raw'!B54/'Datos Raw'!B53))</f>
        <v/>
      </c>
      <c r="D53" t="str">
        <f>IF(C53="","",(C53-AVERAGE($C$2:$C$61))/STDEV($C$2:$C$61))</f>
        <v/>
      </c>
    </row>
    <row r="54" spans="1:4" x14ac:dyDescent="0.25">
      <c r="A54" s="3">
        <f>'Datos Raw'!A55</f>
        <v>45444</v>
      </c>
      <c r="B54" t="str">
        <f>IF(OR(ISBLANK('Datos Raw'!B55),ISBLANK('Datos Raw'!B54)),"",LN('Datos Raw'!B55/'Datos Raw'!B54))</f>
        <v/>
      </c>
      <c r="D54" t="str">
        <f>IF(C54="","",(C54-AVERAGE($C$2:$C$61))/STDEV($C$2:$C$61))</f>
        <v/>
      </c>
    </row>
    <row r="55" spans="1:4" x14ac:dyDescent="0.25">
      <c r="A55" s="3">
        <f>'Datos Raw'!A56</f>
        <v>45474</v>
      </c>
      <c r="B55" t="str">
        <f>IF(OR(ISBLANK('Datos Raw'!B56),ISBLANK('Datos Raw'!B55)),"",LN('Datos Raw'!B56/'Datos Raw'!B55))</f>
        <v/>
      </c>
      <c r="D55" t="str">
        <f>IF(C55="","",(C55-AVERAGE($C$2:$C$61))/STDEV($C$2:$C$61))</f>
        <v/>
      </c>
    </row>
    <row r="56" spans="1:4" x14ac:dyDescent="0.25">
      <c r="A56" s="3">
        <f>'Datos Raw'!A57</f>
        <v>45505</v>
      </c>
      <c r="B56" t="str">
        <f>IF(OR(ISBLANK('Datos Raw'!B57),ISBLANK('Datos Raw'!B56)),"",LN('Datos Raw'!B57/'Datos Raw'!B56))</f>
        <v/>
      </c>
      <c r="D56" t="str">
        <f>IF(C56="","",(C56-AVERAGE($C$2:$C$61))/STDEV($C$2:$C$61))</f>
        <v/>
      </c>
    </row>
    <row r="57" spans="1:4" x14ac:dyDescent="0.25">
      <c r="A57" s="3">
        <f>'Datos Raw'!A58</f>
        <v>45536</v>
      </c>
      <c r="B57" t="str">
        <f>IF(OR(ISBLANK('Datos Raw'!B58),ISBLANK('Datos Raw'!B57)),"",LN('Datos Raw'!B58/'Datos Raw'!B57))</f>
        <v/>
      </c>
      <c r="D57" t="str">
        <f>IF(C57="","",(C57-AVERAGE($C$2:$C$61))/STDEV($C$2:$C$61))</f>
        <v/>
      </c>
    </row>
    <row r="58" spans="1:4" x14ac:dyDescent="0.25">
      <c r="A58" s="3">
        <f>'Datos Raw'!A59</f>
        <v>45566</v>
      </c>
      <c r="B58" t="str">
        <f>IF(OR(ISBLANK('Datos Raw'!B59),ISBLANK('Datos Raw'!B58)),"",LN('Datos Raw'!B59/'Datos Raw'!B58))</f>
        <v/>
      </c>
      <c r="D58" t="str">
        <f>IF(C58="","",(C58-AVERAGE($C$2:$C$61))/STDEV($C$2:$C$61))</f>
        <v/>
      </c>
    </row>
    <row r="59" spans="1:4" x14ac:dyDescent="0.25">
      <c r="A59" s="3">
        <f>'Datos Raw'!A60</f>
        <v>45597</v>
      </c>
      <c r="B59" t="str">
        <f>IF(OR(ISBLANK('Datos Raw'!B60),ISBLANK('Datos Raw'!B59)),"",LN('Datos Raw'!B60/'Datos Raw'!B59))</f>
        <v/>
      </c>
      <c r="D59" t="str">
        <f>IF(C59="","",(C59-AVERAGE($C$2:$C$61))/STDEV($C$2:$C$61))</f>
        <v/>
      </c>
    </row>
    <row r="60" spans="1:4" x14ac:dyDescent="0.25">
      <c r="A60" s="3">
        <f>'Datos Raw'!A61</f>
        <v>45627</v>
      </c>
      <c r="B60" t="str">
        <f>IF(OR(ISBLANK('Datos Raw'!B61),ISBLANK('Datos Raw'!B60)),"",LN('Datos Raw'!B61/'Datos Raw'!B60))</f>
        <v/>
      </c>
      <c r="D60" t="str">
        <f>IF(C60="","",(C60-AVERAGE($C$2:$C$61))/STDEV($C$2:$C$61))</f>
        <v/>
      </c>
    </row>
    <row r="61" spans="1:4" x14ac:dyDescent="0.25">
      <c r="A61">
        <f>'Datos Raw'!A62</f>
        <v>0</v>
      </c>
      <c r="B61" t="str">
        <f>IF(OR(ISBLANK('Datos Raw'!B62),ISBLANK('Datos Raw'!B61)),"",LN('Datos Raw'!B62/'Datos Raw'!B61))</f>
        <v/>
      </c>
      <c r="D61" t="str">
        <f>IF(C61="","",(C61-AVERAGE($C$2:$C$61))/STDEV($C$2:$C$61))</f>
        <v/>
      </c>
    </row>
    <row r="65" spans="1:2" ht="17.25" x14ac:dyDescent="0.3">
      <c r="A65" s="5" t="s">
        <v>6</v>
      </c>
    </row>
    <row r="66" spans="1:2" x14ac:dyDescent="0.25">
      <c r="A66" s="1" t="s">
        <v>7</v>
      </c>
      <c r="B66" t="e">
        <f>SLOPE(B2:B61,C2:C61)</f>
        <v>#DIV/0!</v>
      </c>
    </row>
    <row r="67" spans="1:2" x14ac:dyDescent="0.25">
      <c r="A67" s="1" t="s">
        <v>8</v>
      </c>
      <c r="B67" t="e">
        <f>INTERCEPT(B2:B61,C2:C61)</f>
        <v>#DIV/0!</v>
      </c>
    </row>
    <row r="68" spans="1:2" x14ac:dyDescent="0.25">
      <c r="A68" s="1" t="s">
        <v>9</v>
      </c>
      <c r="B68" t="e">
        <f>RSQ(B2:B61,C2:C61)</f>
        <v>#DIV/0!</v>
      </c>
    </row>
    <row r="69" spans="1:2" x14ac:dyDescent="0.25">
      <c r="A69" s="1" t="s">
        <v>10</v>
      </c>
      <c r="B69" t="e">
        <f>CORREL(B2:B61,C2:C61)</f>
        <v>#DIV/0!</v>
      </c>
    </row>
    <row r="70" spans="1:2" x14ac:dyDescent="0.25">
      <c r="A70" s="1" t="s">
        <v>11</v>
      </c>
    </row>
    <row r="71" spans="1:2" x14ac:dyDescent="0.25">
      <c r="A71" s="1" t="s">
        <v>12</v>
      </c>
    </row>
    <row r="73" spans="1:2" x14ac:dyDescent="0.25">
      <c r="A73" s="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BC45-1EF7-4E96-8CB3-90B4868DB6E9}">
  <dimension ref="A1:A19"/>
  <sheetViews>
    <sheetView tabSelected="1" workbookViewId="0"/>
  </sheetViews>
  <sheetFormatPr baseColWidth="10" defaultRowHeight="15" x14ac:dyDescent="0.25"/>
  <cols>
    <col min="1" max="1" width="90.7109375" customWidth="1"/>
  </cols>
  <sheetData>
    <row r="1" spans="1:1" ht="18.75" x14ac:dyDescent="0.3">
      <c r="A1" s="7" t="s">
        <v>14</v>
      </c>
    </row>
    <row r="2" spans="1:1" x14ac:dyDescent="0.25">
      <c r="A2" s="8"/>
    </row>
    <row r="3" spans="1:1" ht="15.75" x14ac:dyDescent="0.25">
      <c r="A3" s="9" t="s">
        <v>15</v>
      </c>
    </row>
    <row r="4" spans="1:1" x14ac:dyDescent="0.25">
      <c r="A4" s="8" t="s">
        <v>16</v>
      </c>
    </row>
    <row r="5" spans="1:1" x14ac:dyDescent="0.25">
      <c r="A5" s="8" t="s">
        <v>17</v>
      </c>
    </row>
    <row r="6" spans="1:1" x14ac:dyDescent="0.25">
      <c r="A6" s="8" t="s">
        <v>18</v>
      </c>
    </row>
    <row r="7" spans="1:1" x14ac:dyDescent="0.25">
      <c r="A7" s="8"/>
    </row>
    <row r="8" spans="1:1" ht="15.75" x14ac:dyDescent="0.25">
      <c r="A8" s="9" t="s">
        <v>19</v>
      </c>
    </row>
    <row r="9" spans="1:1" x14ac:dyDescent="0.25">
      <c r="A9" s="8" t="s">
        <v>20</v>
      </c>
    </row>
    <row r="10" spans="1:1" x14ac:dyDescent="0.25">
      <c r="A10" s="8" t="s">
        <v>21</v>
      </c>
    </row>
    <row r="11" spans="1:1" x14ac:dyDescent="0.25">
      <c r="A11" s="8" t="s">
        <v>22</v>
      </c>
    </row>
    <row r="12" spans="1:1" x14ac:dyDescent="0.25">
      <c r="A12" s="8"/>
    </row>
    <row r="13" spans="1:1" ht="15.75" x14ac:dyDescent="0.25">
      <c r="A13" s="9" t="s">
        <v>23</v>
      </c>
    </row>
    <row r="14" spans="1:1" x14ac:dyDescent="0.25">
      <c r="A14" s="8" t="s">
        <v>24</v>
      </c>
    </row>
    <row r="15" spans="1:1" x14ac:dyDescent="0.25">
      <c r="A15" s="8"/>
    </row>
    <row r="16" spans="1:1" ht="15.75" x14ac:dyDescent="0.25">
      <c r="A16" s="9" t="s">
        <v>25</v>
      </c>
    </row>
    <row r="17" spans="1:1" x14ac:dyDescent="0.25">
      <c r="A17" s="8" t="s">
        <v>26</v>
      </c>
    </row>
    <row r="18" spans="1:1" x14ac:dyDescent="0.25">
      <c r="A18" s="8" t="s">
        <v>27</v>
      </c>
    </row>
    <row r="19" spans="1:1" x14ac:dyDescent="0.25">
      <c r="A19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Raw</vt:lpstr>
      <vt:lpstr>Calculos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gorka mendiola</dc:creator>
  <cp:lastModifiedBy>gorka mendiola</cp:lastModifiedBy>
  <dcterms:created xsi:type="dcterms:W3CDTF">2026-05-14T16:36:02Z</dcterms:created>
  <dcterms:modified xsi:type="dcterms:W3CDTF">2026-05-14T16:36:05Z</dcterms:modified>
</cp:coreProperties>
</file>