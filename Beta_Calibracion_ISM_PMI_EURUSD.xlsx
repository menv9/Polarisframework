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 Raw" sheetId="1" state="visible" r:id="rId1"/>
    <sheet name="Calculos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1F4E79"/>
      <sz val="13"/>
    </font>
    <font>
      <name val="Arial"/>
      <b val="1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  <sz val="14"/>
    </font>
    <font>
      <name val="Arial"/>
      <color rgb="00000000"/>
      <sz val="11"/>
    </font>
    <font>
      <name val="Arial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3" borderId="0" applyAlignment="1" pivotButton="0" quotePrefix="0" xfId="0">
      <alignment wrapText="1"/>
    </xf>
    <xf numFmtId="0" fontId="8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</cols>
  <sheetData>
    <row r="1">
      <c r="A1" s="1" t="inlineStr">
        <is>
          <t>Fecha</t>
        </is>
      </c>
      <c r="B1" s="1" t="inlineStr">
        <is>
          <t>EURUSD Cierre</t>
        </is>
      </c>
      <c r="C1" s="1" t="inlineStr">
        <is>
          <t>ISM PMI USA</t>
        </is>
      </c>
    </row>
    <row r="2">
      <c r="A2" t="inlineStr">
        <is>
          <t>2020-01-01</t>
        </is>
      </c>
    </row>
    <row r="3">
      <c r="A3" t="inlineStr">
        <is>
          <t>2020-02-01</t>
        </is>
      </c>
    </row>
    <row r="4">
      <c r="A4" t="inlineStr">
        <is>
          <t>2020-03-01</t>
        </is>
      </c>
    </row>
    <row r="5">
      <c r="A5" t="inlineStr">
        <is>
          <t>2020-04-01</t>
        </is>
      </c>
    </row>
    <row r="6">
      <c r="A6" t="inlineStr">
        <is>
          <t>2020-05-01</t>
        </is>
      </c>
    </row>
    <row r="7">
      <c r="A7" t="inlineStr">
        <is>
          <t>2020-06-01</t>
        </is>
      </c>
    </row>
    <row r="8">
      <c r="A8" t="inlineStr">
        <is>
          <t>2020-07-01</t>
        </is>
      </c>
    </row>
    <row r="9">
      <c r="A9" t="inlineStr">
        <is>
          <t>2020-08-01</t>
        </is>
      </c>
    </row>
    <row r="10">
      <c r="A10" t="inlineStr">
        <is>
          <t>2020-09-01</t>
        </is>
      </c>
    </row>
    <row r="11">
      <c r="A11" t="inlineStr">
        <is>
          <t>2020-10-01</t>
        </is>
      </c>
    </row>
    <row r="12">
      <c r="A12" t="inlineStr">
        <is>
          <t>2020-11-01</t>
        </is>
      </c>
    </row>
    <row r="13">
      <c r="A13" t="inlineStr">
        <is>
          <t>2020-12-01</t>
        </is>
      </c>
    </row>
    <row r="14">
      <c r="A14" t="inlineStr">
        <is>
          <t>2021-01-01</t>
        </is>
      </c>
    </row>
    <row r="15">
      <c r="A15" t="inlineStr">
        <is>
          <t>2021-02-01</t>
        </is>
      </c>
    </row>
    <row r="16">
      <c r="A16" t="inlineStr">
        <is>
          <t>2021-03-01</t>
        </is>
      </c>
    </row>
    <row r="17">
      <c r="A17" t="inlineStr">
        <is>
          <t>2021-04-01</t>
        </is>
      </c>
    </row>
    <row r="18">
      <c r="A18" t="inlineStr">
        <is>
          <t>2021-05-01</t>
        </is>
      </c>
    </row>
    <row r="19">
      <c r="A19" t="inlineStr">
        <is>
          <t>2021-06-01</t>
        </is>
      </c>
    </row>
    <row r="20">
      <c r="A20" t="inlineStr">
        <is>
          <t>2021-07-01</t>
        </is>
      </c>
    </row>
    <row r="21">
      <c r="A21" t="inlineStr">
        <is>
          <t>2021-08-01</t>
        </is>
      </c>
    </row>
    <row r="22">
      <c r="A22" t="inlineStr">
        <is>
          <t>2021-09-01</t>
        </is>
      </c>
    </row>
    <row r="23">
      <c r="A23" t="inlineStr">
        <is>
          <t>2021-10-01</t>
        </is>
      </c>
    </row>
    <row r="24">
      <c r="A24" t="inlineStr">
        <is>
          <t>2021-11-01</t>
        </is>
      </c>
    </row>
    <row r="25">
      <c r="A25" t="inlineStr">
        <is>
          <t>2021-12-01</t>
        </is>
      </c>
    </row>
    <row r="26">
      <c r="A26" t="inlineStr">
        <is>
          <t>2022-01-01</t>
        </is>
      </c>
    </row>
    <row r="27">
      <c r="A27" t="inlineStr">
        <is>
          <t>2022-02-01</t>
        </is>
      </c>
    </row>
    <row r="28">
      <c r="A28" t="inlineStr">
        <is>
          <t>2022-03-01</t>
        </is>
      </c>
    </row>
    <row r="29">
      <c r="A29" t="inlineStr">
        <is>
          <t>2022-04-01</t>
        </is>
      </c>
    </row>
    <row r="30">
      <c r="A30" t="inlineStr">
        <is>
          <t>2022-05-01</t>
        </is>
      </c>
    </row>
    <row r="31">
      <c r="A31" t="inlineStr">
        <is>
          <t>2022-06-01</t>
        </is>
      </c>
    </row>
    <row r="32">
      <c r="A32" t="inlineStr">
        <is>
          <t>2022-07-01</t>
        </is>
      </c>
    </row>
    <row r="33">
      <c r="A33" t="inlineStr">
        <is>
          <t>2022-08-01</t>
        </is>
      </c>
    </row>
    <row r="34">
      <c r="A34" t="inlineStr">
        <is>
          <t>2022-09-01</t>
        </is>
      </c>
    </row>
    <row r="35">
      <c r="A35" t="inlineStr">
        <is>
          <t>2022-10-01</t>
        </is>
      </c>
    </row>
    <row r="36">
      <c r="A36" t="inlineStr">
        <is>
          <t>2022-11-01</t>
        </is>
      </c>
    </row>
    <row r="37">
      <c r="A37" t="inlineStr">
        <is>
          <t>2022-12-01</t>
        </is>
      </c>
    </row>
    <row r="38">
      <c r="A38" t="inlineStr">
        <is>
          <t>2023-01-01</t>
        </is>
      </c>
    </row>
    <row r="39">
      <c r="A39" t="inlineStr">
        <is>
          <t>2023-02-01</t>
        </is>
      </c>
    </row>
    <row r="40">
      <c r="A40" t="inlineStr">
        <is>
          <t>2023-03-01</t>
        </is>
      </c>
    </row>
    <row r="41">
      <c r="A41" t="inlineStr">
        <is>
          <t>2023-04-01</t>
        </is>
      </c>
    </row>
    <row r="42">
      <c r="A42" t="inlineStr">
        <is>
          <t>2023-05-01</t>
        </is>
      </c>
    </row>
    <row r="43">
      <c r="A43" t="inlineStr">
        <is>
          <t>2023-06-01</t>
        </is>
      </c>
    </row>
    <row r="44">
      <c r="A44" t="inlineStr">
        <is>
          <t>2023-07-01</t>
        </is>
      </c>
    </row>
    <row r="45">
      <c r="A45" t="inlineStr">
        <is>
          <t>2023-08-01</t>
        </is>
      </c>
    </row>
    <row r="46">
      <c r="A46" t="inlineStr">
        <is>
          <t>2023-09-01</t>
        </is>
      </c>
    </row>
    <row r="47">
      <c r="A47" t="inlineStr">
        <is>
          <t>2023-10-01</t>
        </is>
      </c>
    </row>
    <row r="48">
      <c r="A48" t="inlineStr">
        <is>
          <t>2023-11-01</t>
        </is>
      </c>
    </row>
    <row r="49">
      <c r="A49" t="inlineStr">
        <is>
          <t>2023-12-01</t>
        </is>
      </c>
    </row>
    <row r="50">
      <c r="A50" t="inlineStr">
        <is>
          <t>2024-01-01</t>
        </is>
      </c>
    </row>
    <row r="51">
      <c r="A51" t="inlineStr">
        <is>
          <t>2024-02-01</t>
        </is>
      </c>
    </row>
    <row r="52">
      <c r="A52" t="inlineStr">
        <is>
          <t>2024-03-01</t>
        </is>
      </c>
    </row>
    <row r="53">
      <c r="A53" t="inlineStr">
        <is>
          <t>2024-04-01</t>
        </is>
      </c>
    </row>
    <row r="54">
      <c r="A54" t="inlineStr">
        <is>
          <t>2024-05-01</t>
        </is>
      </c>
    </row>
    <row r="55">
      <c r="A55" t="inlineStr">
        <is>
          <t>2024-06-01</t>
        </is>
      </c>
    </row>
    <row r="56">
      <c r="A56" t="inlineStr">
        <is>
          <t>2024-07-01</t>
        </is>
      </c>
    </row>
    <row r="57">
      <c r="A57" t="inlineStr">
        <is>
          <t>2024-08-01</t>
        </is>
      </c>
    </row>
    <row r="58">
      <c r="A58" t="inlineStr">
        <is>
          <t>2024-09-01</t>
        </is>
      </c>
    </row>
    <row r="59">
      <c r="A59" t="inlineStr">
        <is>
          <t>2024-10-01</t>
        </is>
      </c>
    </row>
    <row r="60">
      <c r="A60" t="inlineStr">
        <is>
          <t>2024-11-01</t>
        </is>
      </c>
    </row>
    <row r="61">
      <c r="A61" t="inlineStr">
        <is>
          <t>2024-12-01</t>
        </is>
      </c>
    </row>
    <row r="62">
      <c r="A62" t="inlineStr">
        <is>
          <t>2025-01-01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4" customWidth="1" min="4" max="4"/>
  </cols>
  <sheetData>
    <row r="1">
      <c r="A1" s="1" t="inlineStr">
        <is>
          <t>Fecha</t>
        </is>
      </c>
      <c r="B1" s="1" t="inlineStr">
        <is>
          <t>Retorno EURUSD</t>
        </is>
      </c>
      <c r="C1" s="1" t="inlineStr">
        <is>
          <t>Delta PMI</t>
        </is>
      </c>
      <c r="D1" s="1" t="inlineStr">
        <is>
          <t>PMI z-score</t>
        </is>
      </c>
    </row>
    <row r="2">
      <c r="A2">
        <f>'Datos Raw'!A3</f>
        <v/>
      </c>
      <c r="B2">
        <f>IF(OR(ISBLANK('Datos Raw'!B3),ISBLANK('Datos Raw'!B2)),"",(LN('Datos Raw'!B3/'Datos Raw'!B2)))</f>
        <v/>
      </c>
      <c r="C2">
        <f>IF(OR(ISBLANK('Datos Raw'!C3),ISBLANK('Datos Raw'!C2)),"",'Datos Raw'!C3-'Datos Raw'!C2)</f>
        <v/>
      </c>
      <c r="D2">
        <f>IF(C2="","",(C2-AVERAGE($C$2:$C$62))/STDEV($C$2:$C$62))</f>
        <v/>
      </c>
    </row>
    <row r="3">
      <c r="A3">
        <f>'Datos Raw'!A4</f>
        <v/>
      </c>
      <c r="B3">
        <f>IF(OR(ISBLANK('Datos Raw'!B4),ISBLANK('Datos Raw'!B3)),"",(LN('Datos Raw'!B4/'Datos Raw'!B3)))</f>
        <v/>
      </c>
      <c r="C3">
        <f>IF(OR(ISBLANK('Datos Raw'!C4),ISBLANK('Datos Raw'!C3)),"",'Datos Raw'!C4-'Datos Raw'!C3)</f>
        <v/>
      </c>
      <c r="D3">
        <f>IF(C3="","",(C3-AVERAGE($C$2:$C$62))/STDEV($C$2:$C$62))</f>
        <v/>
      </c>
    </row>
    <row r="4">
      <c r="A4">
        <f>'Datos Raw'!A5</f>
        <v/>
      </c>
      <c r="B4">
        <f>IF(OR(ISBLANK('Datos Raw'!B5),ISBLANK('Datos Raw'!B4)),"",(LN('Datos Raw'!B5/'Datos Raw'!B4)))</f>
        <v/>
      </c>
      <c r="C4">
        <f>IF(OR(ISBLANK('Datos Raw'!C5),ISBLANK('Datos Raw'!C4)),"",'Datos Raw'!C5-'Datos Raw'!C4)</f>
        <v/>
      </c>
      <c r="D4">
        <f>IF(C4="","",(C4-AVERAGE($C$2:$C$62))/STDEV($C$2:$C$62))</f>
        <v/>
      </c>
    </row>
    <row r="5">
      <c r="A5">
        <f>'Datos Raw'!A6</f>
        <v/>
      </c>
      <c r="B5">
        <f>IF(OR(ISBLANK('Datos Raw'!B6),ISBLANK('Datos Raw'!B5)),"",(LN('Datos Raw'!B6/'Datos Raw'!B5)))</f>
        <v/>
      </c>
      <c r="C5">
        <f>IF(OR(ISBLANK('Datos Raw'!C6),ISBLANK('Datos Raw'!C5)),"",'Datos Raw'!C6-'Datos Raw'!C5)</f>
        <v/>
      </c>
      <c r="D5">
        <f>IF(C5="","",(C5-AVERAGE($C$2:$C$62))/STDEV($C$2:$C$62))</f>
        <v/>
      </c>
    </row>
    <row r="6">
      <c r="A6">
        <f>'Datos Raw'!A7</f>
        <v/>
      </c>
      <c r="B6">
        <f>IF(OR(ISBLANK('Datos Raw'!B7),ISBLANK('Datos Raw'!B6)),"",(LN('Datos Raw'!B7/'Datos Raw'!B6)))</f>
        <v/>
      </c>
      <c r="C6">
        <f>IF(OR(ISBLANK('Datos Raw'!C7),ISBLANK('Datos Raw'!C6)),"",'Datos Raw'!C7-'Datos Raw'!C6)</f>
        <v/>
      </c>
      <c r="D6">
        <f>IF(C6="","",(C6-AVERAGE($C$2:$C$62))/STDEV($C$2:$C$62))</f>
        <v/>
      </c>
    </row>
    <row r="7">
      <c r="A7">
        <f>'Datos Raw'!A8</f>
        <v/>
      </c>
      <c r="B7">
        <f>IF(OR(ISBLANK('Datos Raw'!B8),ISBLANK('Datos Raw'!B7)),"",(LN('Datos Raw'!B8/'Datos Raw'!B7)))</f>
        <v/>
      </c>
      <c r="C7">
        <f>IF(OR(ISBLANK('Datos Raw'!C8),ISBLANK('Datos Raw'!C7)),"",'Datos Raw'!C8-'Datos Raw'!C7)</f>
        <v/>
      </c>
      <c r="D7">
        <f>IF(C7="","",(C7-AVERAGE($C$2:$C$62))/STDEV($C$2:$C$62))</f>
        <v/>
      </c>
    </row>
    <row r="8">
      <c r="A8">
        <f>'Datos Raw'!A9</f>
        <v/>
      </c>
      <c r="B8">
        <f>IF(OR(ISBLANK('Datos Raw'!B9),ISBLANK('Datos Raw'!B8)),"",(LN('Datos Raw'!B9/'Datos Raw'!B8)))</f>
        <v/>
      </c>
      <c r="C8">
        <f>IF(OR(ISBLANK('Datos Raw'!C9),ISBLANK('Datos Raw'!C8)),"",'Datos Raw'!C9-'Datos Raw'!C8)</f>
        <v/>
      </c>
      <c r="D8">
        <f>IF(C8="","",(C8-AVERAGE($C$2:$C$62))/STDEV($C$2:$C$62))</f>
        <v/>
      </c>
    </row>
    <row r="9">
      <c r="A9">
        <f>'Datos Raw'!A10</f>
        <v/>
      </c>
      <c r="B9">
        <f>IF(OR(ISBLANK('Datos Raw'!B10),ISBLANK('Datos Raw'!B9)),"",(LN('Datos Raw'!B10/'Datos Raw'!B9)))</f>
        <v/>
      </c>
      <c r="C9">
        <f>IF(OR(ISBLANK('Datos Raw'!C10),ISBLANK('Datos Raw'!C9)),"",'Datos Raw'!C10-'Datos Raw'!C9)</f>
        <v/>
      </c>
      <c r="D9">
        <f>IF(C9="","",(C9-AVERAGE($C$2:$C$62))/STDEV($C$2:$C$62))</f>
        <v/>
      </c>
    </row>
    <row r="10">
      <c r="A10">
        <f>'Datos Raw'!A11</f>
        <v/>
      </c>
      <c r="B10">
        <f>IF(OR(ISBLANK('Datos Raw'!B11),ISBLANK('Datos Raw'!B10)),"",(LN('Datos Raw'!B11/'Datos Raw'!B10)))</f>
        <v/>
      </c>
      <c r="C10">
        <f>IF(OR(ISBLANK('Datos Raw'!C11),ISBLANK('Datos Raw'!C10)),"",'Datos Raw'!C11-'Datos Raw'!C10)</f>
        <v/>
      </c>
      <c r="D10">
        <f>IF(C10="","",(C10-AVERAGE($C$2:$C$62))/STDEV($C$2:$C$62))</f>
        <v/>
      </c>
    </row>
    <row r="11">
      <c r="A11">
        <f>'Datos Raw'!A12</f>
        <v/>
      </c>
      <c r="B11">
        <f>IF(OR(ISBLANK('Datos Raw'!B12),ISBLANK('Datos Raw'!B11)),"",(LN('Datos Raw'!B12/'Datos Raw'!B11)))</f>
        <v/>
      </c>
      <c r="C11">
        <f>IF(OR(ISBLANK('Datos Raw'!C12),ISBLANK('Datos Raw'!C11)),"",'Datos Raw'!C12-'Datos Raw'!C11)</f>
        <v/>
      </c>
      <c r="D11">
        <f>IF(C11="","",(C11-AVERAGE($C$2:$C$62))/STDEV($C$2:$C$62))</f>
        <v/>
      </c>
    </row>
    <row r="12">
      <c r="A12">
        <f>'Datos Raw'!A13</f>
        <v/>
      </c>
      <c r="B12">
        <f>IF(OR(ISBLANK('Datos Raw'!B13),ISBLANK('Datos Raw'!B12)),"",(LN('Datos Raw'!B13/'Datos Raw'!B12)))</f>
        <v/>
      </c>
      <c r="C12">
        <f>IF(OR(ISBLANK('Datos Raw'!C13),ISBLANK('Datos Raw'!C12)),"",'Datos Raw'!C13-'Datos Raw'!C12)</f>
        <v/>
      </c>
      <c r="D12">
        <f>IF(C12="","",(C12-AVERAGE($C$2:$C$62))/STDEV($C$2:$C$62))</f>
        <v/>
      </c>
    </row>
    <row r="13">
      <c r="A13">
        <f>'Datos Raw'!A14</f>
        <v/>
      </c>
      <c r="B13">
        <f>IF(OR(ISBLANK('Datos Raw'!B14),ISBLANK('Datos Raw'!B13)),"",(LN('Datos Raw'!B14/'Datos Raw'!B13)))</f>
        <v/>
      </c>
      <c r="C13">
        <f>IF(OR(ISBLANK('Datos Raw'!C14),ISBLANK('Datos Raw'!C13)),"",'Datos Raw'!C14-'Datos Raw'!C13)</f>
        <v/>
      </c>
      <c r="D13">
        <f>IF(C13="","",(C13-AVERAGE($C$2:$C$62))/STDEV($C$2:$C$62))</f>
        <v/>
      </c>
    </row>
    <row r="14">
      <c r="A14">
        <f>'Datos Raw'!A15</f>
        <v/>
      </c>
      <c r="B14">
        <f>IF(OR(ISBLANK('Datos Raw'!B15),ISBLANK('Datos Raw'!B14)),"",(LN('Datos Raw'!B15/'Datos Raw'!B14)))</f>
        <v/>
      </c>
      <c r="C14">
        <f>IF(OR(ISBLANK('Datos Raw'!C15),ISBLANK('Datos Raw'!C14)),"",'Datos Raw'!C15-'Datos Raw'!C14)</f>
        <v/>
      </c>
      <c r="D14">
        <f>IF(C14="","",(C14-AVERAGE($C$2:$C$62))/STDEV($C$2:$C$62))</f>
        <v/>
      </c>
    </row>
    <row r="15">
      <c r="A15">
        <f>'Datos Raw'!A16</f>
        <v/>
      </c>
      <c r="B15">
        <f>IF(OR(ISBLANK('Datos Raw'!B16),ISBLANK('Datos Raw'!B15)),"",(LN('Datos Raw'!B16/'Datos Raw'!B15)))</f>
        <v/>
      </c>
      <c r="C15">
        <f>IF(OR(ISBLANK('Datos Raw'!C16),ISBLANK('Datos Raw'!C15)),"",'Datos Raw'!C16-'Datos Raw'!C15)</f>
        <v/>
      </c>
      <c r="D15">
        <f>IF(C15="","",(C15-AVERAGE($C$2:$C$62))/STDEV($C$2:$C$62))</f>
        <v/>
      </c>
    </row>
    <row r="16">
      <c r="A16">
        <f>'Datos Raw'!A17</f>
        <v/>
      </c>
      <c r="B16">
        <f>IF(OR(ISBLANK('Datos Raw'!B17),ISBLANK('Datos Raw'!B16)),"",(LN('Datos Raw'!B17/'Datos Raw'!B16)))</f>
        <v/>
      </c>
      <c r="C16">
        <f>IF(OR(ISBLANK('Datos Raw'!C17),ISBLANK('Datos Raw'!C16)),"",'Datos Raw'!C17-'Datos Raw'!C16)</f>
        <v/>
      </c>
      <c r="D16">
        <f>IF(C16="","",(C16-AVERAGE($C$2:$C$62))/STDEV($C$2:$C$62))</f>
        <v/>
      </c>
    </row>
    <row r="17">
      <c r="A17">
        <f>'Datos Raw'!A18</f>
        <v/>
      </c>
      <c r="B17">
        <f>IF(OR(ISBLANK('Datos Raw'!B18),ISBLANK('Datos Raw'!B17)),"",(LN('Datos Raw'!B18/'Datos Raw'!B17)))</f>
        <v/>
      </c>
      <c r="C17">
        <f>IF(OR(ISBLANK('Datos Raw'!C18),ISBLANK('Datos Raw'!C17)),"",'Datos Raw'!C18-'Datos Raw'!C17)</f>
        <v/>
      </c>
      <c r="D17">
        <f>IF(C17="","",(C17-AVERAGE($C$2:$C$62))/STDEV($C$2:$C$62))</f>
        <v/>
      </c>
    </row>
    <row r="18">
      <c r="A18">
        <f>'Datos Raw'!A19</f>
        <v/>
      </c>
      <c r="B18">
        <f>IF(OR(ISBLANK('Datos Raw'!B19),ISBLANK('Datos Raw'!B18)),"",(LN('Datos Raw'!B19/'Datos Raw'!B18)))</f>
        <v/>
      </c>
      <c r="C18">
        <f>IF(OR(ISBLANK('Datos Raw'!C19),ISBLANK('Datos Raw'!C18)),"",'Datos Raw'!C19-'Datos Raw'!C18)</f>
        <v/>
      </c>
      <c r="D18">
        <f>IF(C18="","",(C18-AVERAGE($C$2:$C$62))/STDEV($C$2:$C$62))</f>
        <v/>
      </c>
    </row>
    <row r="19">
      <c r="A19">
        <f>'Datos Raw'!A20</f>
        <v/>
      </c>
      <c r="B19">
        <f>IF(OR(ISBLANK('Datos Raw'!B20),ISBLANK('Datos Raw'!B19)),"",(LN('Datos Raw'!B20/'Datos Raw'!B19)))</f>
        <v/>
      </c>
      <c r="C19">
        <f>IF(OR(ISBLANK('Datos Raw'!C20),ISBLANK('Datos Raw'!C19)),"",'Datos Raw'!C20-'Datos Raw'!C19)</f>
        <v/>
      </c>
      <c r="D19">
        <f>IF(C19="","",(C19-AVERAGE($C$2:$C$62))/STDEV($C$2:$C$62))</f>
        <v/>
      </c>
    </row>
    <row r="20">
      <c r="A20">
        <f>'Datos Raw'!A21</f>
        <v/>
      </c>
      <c r="B20">
        <f>IF(OR(ISBLANK('Datos Raw'!B21),ISBLANK('Datos Raw'!B20)),"",(LN('Datos Raw'!B21/'Datos Raw'!B20)))</f>
        <v/>
      </c>
      <c r="C20">
        <f>IF(OR(ISBLANK('Datos Raw'!C21),ISBLANK('Datos Raw'!C20)),"",'Datos Raw'!C21-'Datos Raw'!C20)</f>
        <v/>
      </c>
      <c r="D20">
        <f>IF(C20="","",(C20-AVERAGE($C$2:$C$62))/STDEV($C$2:$C$62))</f>
        <v/>
      </c>
    </row>
    <row r="21">
      <c r="A21">
        <f>'Datos Raw'!A22</f>
        <v/>
      </c>
      <c r="B21">
        <f>IF(OR(ISBLANK('Datos Raw'!B22),ISBLANK('Datos Raw'!B21)),"",(LN('Datos Raw'!B22/'Datos Raw'!B21)))</f>
        <v/>
      </c>
      <c r="C21">
        <f>IF(OR(ISBLANK('Datos Raw'!C22),ISBLANK('Datos Raw'!C21)),"",'Datos Raw'!C22-'Datos Raw'!C21)</f>
        <v/>
      </c>
      <c r="D21">
        <f>IF(C21="","",(C21-AVERAGE($C$2:$C$62))/STDEV($C$2:$C$62))</f>
        <v/>
      </c>
    </row>
    <row r="22">
      <c r="A22">
        <f>'Datos Raw'!A23</f>
        <v/>
      </c>
      <c r="B22">
        <f>IF(OR(ISBLANK('Datos Raw'!B23),ISBLANK('Datos Raw'!B22)),"",(LN('Datos Raw'!B23/'Datos Raw'!B22)))</f>
        <v/>
      </c>
      <c r="C22">
        <f>IF(OR(ISBLANK('Datos Raw'!C23),ISBLANK('Datos Raw'!C22)),"",'Datos Raw'!C23-'Datos Raw'!C22)</f>
        <v/>
      </c>
      <c r="D22">
        <f>IF(C22="","",(C22-AVERAGE($C$2:$C$62))/STDEV($C$2:$C$62))</f>
        <v/>
      </c>
    </row>
    <row r="23">
      <c r="A23">
        <f>'Datos Raw'!A24</f>
        <v/>
      </c>
      <c r="B23">
        <f>IF(OR(ISBLANK('Datos Raw'!B24),ISBLANK('Datos Raw'!B23)),"",(LN('Datos Raw'!B24/'Datos Raw'!B23)))</f>
        <v/>
      </c>
      <c r="C23">
        <f>IF(OR(ISBLANK('Datos Raw'!C24),ISBLANK('Datos Raw'!C23)),"",'Datos Raw'!C24-'Datos Raw'!C23)</f>
        <v/>
      </c>
      <c r="D23">
        <f>IF(C23="","",(C23-AVERAGE($C$2:$C$62))/STDEV($C$2:$C$62))</f>
        <v/>
      </c>
    </row>
    <row r="24">
      <c r="A24">
        <f>'Datos Raw'!A25</f>
        <v/>
      </c>
      <c r="B24">
        <f>IF(OR(ISBLANK('Datos Raw'!B25),ISBLANK('Datos Raw'!B24)),"",(LN('Datos Raw'!B25/'Datos Raw'!B24)))</f>
        <v/>
      </c>
      <c r="C24">
        <f>IF(OR(ISBLANK('Datos Raw'!C25),ISBLANK('Datos Raw'!C24)),"",'Datos Raw'!C25-'Datos Raw'!C24)</f>
        <v/>
      </c>
      <c r="D24">
        <f>IF(C24="","",(C24-AVERAGE($C$2:$C$62))/STDEV($C$2:$C$62))</f>
        <v/>
      </c>
    </row>
    <row r="25">
      <c r="A25">
        <f>'Datos Raw'!A26</f>
        <v/>
      </c>
      <c r="B25">
        <f>IF(OR(ISBLANK('Datos Raw'!B26),ISBLANK('Datos Raw'!B25)),"",(LN('Datos Raw'!B26/'Datos Raw'!B25)))</f>
        <v/>
      </c>
      <c r="C25">
        <f>IF(OR(ISBLANK('Datos Raw'!C26),ISBLANK('Datos Raw'!C25)),"",'Datos Raw'!C26-'Datos Raw'!C25)</f>
        <v/>
      </c>
      <c r="D25">
        <f>IF(C25="","",(C25-AVERAGE($C$2:$C$62))/STDEV($C$2:$C$62))</f>
        <v/>
      </c>
    </row>
    <row r="26">
      <c r="A26">
        <f>'Datos Raw'!A27</f>
        <v/>
      </c>
      <c r="B26">
        <f>IF(OR(ISBLANK('Datos Raw'!B27),ISBLANK('Datos Raw'!B26)),"",(LN('Datos Raw'!B27/'Datos Raw'!B26)))</f>
        <v/>
      </c>
      <c r="C26">
        <f>IF(OR(ISBLANK('Datos Raw'!C27),ISBLANK('Datos Raw'!C26)),"",'Datos Raw'!C27-'Datos Raw'!C26)</f>
        <v/>
      </c>
      <c r="D26">
        <f>IF(C26="","",(C26-AVERAGE($C$2:$C$62))/STDEV($C$2:$C$62))</f>
        <v/>
      </c>
    </row>
    <row r="27">
      <c r="A27">
        <f>'Datos Raw'!A28</f>
        <v/>
      </c>
      <c r="B27">
        <f>IF(OR(ISBLANK('Datos Raw'!B28),ISBLANK('Datos Raw'!B27)),"",(LN('Datos Raw'!B28/'Datos Raw'!B27)))</f>
        <v/>
      </c>
      <c r="C27">
        <f>IF(OR(ISBLANK('Datos Raw'!C28),ISBLANK('Datos Raw'!C27)),"",'Datos Raw'!C28-'Datos Raw'!C27)</f>
        <v/>
      </c>
      <c r="D27">
        <f>IF(C27="","",(C27-AVERAGE($C$2:$C$62))/STDEV($C$2:$C$62))</f>
        <v/>
      </c>
    </row>
    <row r="28">
      <c r="A28">
        <f>'Datos Raw'!A29</f>
        <v/>
      </c>
      <c r="B28">
        <f>IF(OR(ISBLANK('Datos Raw'!B29),ISBLANK('Datos Raw'!B28)),"",(LN('Datos Raw'!B29/'Datos Raw'!B28)))</f>
        <v/>
      </c>
      <c r="C28">
        <f>IF(OR(ISBLANK('Datos Raw'!C29),ISBLANK('Datos Raw'!C28)),"",'Datos Raw'!C29-'Datos Raw'!C28)</f>
        <v/>
      </c>
      <c r="D28">
        <f>IF(C28="","",(C28-AVERAGE($C$2:$C$62))/STDEV($C$2:$C$62))</f>
        <v/>
      </c>
    </row>
    <row r="29">
      <c r="A29">
        <f>'Datos Raw'!A30</f>
        <v/>
      </c>
      <c r="B29">
        <f>IF(OR(ISBLANK('Datos Raw'!B30),ISBLANK('Datos Raw'!B29)),"",(LN('Datos Raw'!B30/'Datos Raw'!B29)))</f>
        <v/>
      </c>
      <c r="C29">
        <f>IF(OR(ISBLANK('Datos Raw'!C30),ISBLANK('Datos Raw'!C29)),"",'Datos Raw'!C30-'Datos Raw'!C29)</f>
        <v/>
      </c>
      <c r="D29">
        <f>IF(C29="","",(C29-AVERAGE($C$2:$C$62))/STDEV($C$2:$C$62))</f>
        <v/>
      </c>
    </row>
    <row r="30">
      <c r="A30">
        <f>'Datos Raw'!A31</f>
        <v/>
      </c>
      <c r="B30">
        <f>IF(OR(ISBLANK('Datos Raw'!B31),ISBLANK('Datos Raw'!B30)),"",(LN('Datos Raw'!B31/'Datos Raw'!B30)))</f>
        <v/>
      </c>
      <c r="C30">
        <f>IF(OR(ISBLANK('Datos Raw'!C31),ISBLANK('Datos Raw'!C30)),"",'Datos Raw'!C31-'Datos Raw'!C30)</f>
        <v/>
      </c>
      <c r="D30">
        <f>IF(C30="","",(C30-AVERAGE($C$2:$C$62))/STDEV($C$2:$C$62))</f>
        <v/>
      </c>
    </row>
    <row r="31">
      <c r="A31">
        <f>'Datos Raw'!A32</f>
        <v/>
      </c>
      <c r="B31">
        <f>IF(OR(ISBLANK('Datos Raw'!B32),ISBLANK('Datos Raw'!B31)),"",(LN('Datos Raw'!B32/'Datos Raw'!B31)))</f>
        <v/>
      </c>
      <c r="C31">
        <f>IF(OR(ISBLANK('Datos Raw'!C32),ISBLANK('Datos Raw'!C31)),"",'Datos Raw'!C32-'Datos Raw'!C31)</f>
        <v/>
      </c>
      <c r="D31">
        <f>IF(C31="","",(C31-AVERAGE($C$2:$C$62))/STDEV($C$2:$C$62))</f>
        <v/>
      </c>
    </row>
    <row r="32">
      <c r="A32">
        <f>'Datos Raw'!A33</f>
        <v/>
      </c>
      <c r="B32">
        <f>IF(OR(ISBLANK('Datos Raw'!B33),ISBLANK('Datos Raw'!B32)),"",(LN('Datos Raw'!B33/'Datos Raw'!B32)))</f>
        <v/>
      </c>
      <c r="C32">
        <f>IF(OR(ISBLANK('Datos Raw'!C33),ISBLANK('Datos Raw'!C32)),"",'Datos Raw'!C33-'Datos Raw'!C32)</f>
        <v/>
      </c>
      <c r="D32">
        <f>IF(C32="","",(C32-AVERAGE($C$2:$C$62))/STDEV($C$2:$C$62))</f>
        <v/>
      </c>
    </row>
    <row r="33">
      <c r="A33">
        <f>'Datos Raw'!A34</f>
        <v/>
      </c>
      <c r="B33">
        <f>IF(OR(ISBLANK('Datos Raw'!B34),ISBLANK('Datos Raw'!B33)),"",(LN('Datos Raw'!B34/'Datos Raw'!B33)))</f>
        <v/>
      </c>
      <c r="C33">
        <f>IF(OR(ISBLANK('Datos Raw'!C34),ISBLANK('Datos Raw'!C33)),"",'Datos Raw'!C34-'Datos Raw'!C33)</f>
        <v/>
      </c>
      <c r="D33">
        <f>IF(C33="","",(C33-AVERAGE($C$2:$C$62))/STDEV($C$2:$C$62))</f>
        <v/>
      </c>
    </row>
    <row r="34">
      <c r="A34">
        <f>'Datos Raw'!A35</f>
        <v/>
      </c>
      <c r="B34">
        <f>IF(OR(ISBLANK('Datos Raw'!B35),ISBLANK('Datos Raw'!B34)),"",(LN('Datos Raw'!B35/'Datos Raw'!B34)))</f>
        <v/>
      </c>
      <c r="C34">
        <f>IF(OR(ISBLANK('Datos Raw'!C35),ISBLANK('Datos Raw'!C34)),"",'Datos Raw'!C35-'Datos Raw'!C34)</f>
        <v/>
      </c>
      <c r="D34">
        <f>IF(C34="","",(C34-AVERAGE($C$2:$C$62))/STDEV($C$2:$C$62))</f>
        <v/>
      </c>
    </row>
    <row r="35">
      <c r="A35">
        <f>'Datos Raw'!A36</f>
        <v/>
      </c>
      <c r="B35">
        <f>IF(OR(ISBLANK('Datos Raw'!B36),ISBLANK('Datos Raw'!B35)),"",(LN('Datos Raw'!B36/'Datos Raw'!B35)))</f>
        <v/>
      </c>
      <c r="C35">
        <f>IF(OR(ISBLANK('Datos Raw'!C36),ISBLANK('Datos Raw'!C35)),"",'Datos Raw'!C36-'Datos Raw'!C35)</f>
        <v/>
      </c>
      <c r="D35">
        <f>IF(C35="","",(C35-AVERAGE($C$2:$C$62))/STDEV($C$2:$C$62))</f>
        <v/>
      </c>
    </row>
    <row r="36">
      <c r="A36">
        <f>'Datos Raw'!A37</f>
        <v/>
      </c>
      <c r="B36">
        <f>IF(OR(ISBLANK('Datos Raw'!B37),ISBLANK('Datos Raw'!B36)),"",(LN('Datos Raw'!B37/'Datos Raw'!B36)))</f>
        <v/>
      </c>
      <c r="C36">
        <f>IF(OR(ISBLANK('Datos Raw'!C37),ISBLANK('Datos Raw'!C36)),"",'Datos Raw'!C37-'Datos Raw'!C36)</f>
        <v/>
      </c>
      <c r="D36">
        <f>IF(C36="","",(C36-AVERAGE($C$2:$C$62))/STDEV($C$2:$C$62))</f>
        <v/>
      </c>
    </row>
    <row r="37">
      <c r="A37">
        <f>'Datos Raw'!A38</f>
        <v/>
      </c>
      <c r="B37">
        <f>IF(OR(ISBLANK('Datos Raw'!B38),ISBLANK('Datos Raw'!B37)),"",(LN('Datos Raw'!B38/'Datos Raw'!B37)))</f>
        <v/>
      </c>
      <c r="C37">
        <f>IF(OR(ISBLANK('Datos Raw'!C38),ISBLANK('Datos Raw'!C37)),"",'Datos Raw'!C38-'Datos Raw'!C37)</f>
        <v/>
      </c>
      <c r="D37">
        <f>IF(C37="","",(C37-AVERAGE($C$2:$C$62))/STDEV($C$2:$C$62))</f>
        <v/>
      </c>
    </row>
    <row r="38">
      <c r="A38">
        <f>'Datos Raw'!A39</f>
        <v/>
      </c>
      <c r="B38">
        <f>IF(OR(ISBLANK('Datos Raw'!B39),ISBLANK('Datos Raw'!B38)),"",(LN('Datos Raw'!B39/'Datos Raw'!B38)))</f>
        <v/>
      </c>
      <c r="C38">
        <f>IF(OR(ISBLANK('Datos Raw'!C39),ISBLANK('Datos Raw'!C38)),"",'Datos Raw'!C39-'Datos Raw'!C38)</f>
        <v/>
      </c>
      <c r="D38">
        <f>IF(C38="","",(C38-AVERAGE($C$2:$C$62))/STDEV($C$2:$C$62))</f>
        <v/>
      </c>
    </row>
    <row r="39">
      <c r="A39">
        <f>'Datos Raw'!A40</f>
        <v/>
      </c>
      <c r="B39">
        <f>IF(OR(ISBLANK('Datos Raw'!B40),ISBLANK('Datos Raw'!B39)),"",(LN('Datos Raw'!B40/'Datos Raw'!B39)))</f>
        <v/>
      </c>
      <c r="C39">
        <f>IF(OR(ISBLANK('Datos Raw'!C40),ISBLANK('Datos Raw'!C39)),"",'Datos Raw'!C40-'Datos Raw'!C39)</f>
        <v/>
      </c>
      <c r="D39">
        <f>IF(C39="","",(C39-AVERAGE($C$2:$C$62))/STDEV($C$2:$C$62))</f>
        <v/>
      </c>
    </row>
    <row r="40">
      <c r="A40">
        <f>'Datos Raw'!A41</f>
        <v/>
      </c>
      <c r="B40">
        <f>IF(OR(ISBLANK('Datos Raw'!B41),ISBLANK('Datos Raw'!B40)),"",(LN('Datos Raw'!B41/'Datos Raw'!B40)))</f>
        <v/>
      </c>
      <c r="C40">
        <f>IF(OR(ISBLANK('Datos Raw'!C41),ISBLANK('Datos Raw'!C40)),"",'Datos Raw'!C41-'Datos Raw'!C40)</f>
        <v/>
      </c>
      <c r="D40">
        <f>IF(C40="","",(C40-AVERAGE($C$2:$C$62))/STDEV($C$2:$C$62))</f>
        <v/>
      </c>
    </row>
    <row r="41">
      <c r="A41">
        <f>'Datos Raw'!A42</f>
        <v/>
      </c>
      <c r="B41">
        <f>IF(OR(ISBLANK('Datos Raw'!B42),ISBLANK('Datos Raw'!B41)),"",(LN('Datos Raw'!B42/'Datos Raw'!B41)))</f>
        <v/>
      </c>
      <c r="C41">
        <f>IF(OR(ISBLANK('Datos Raw'!C42),ISBLANK('Datos Raw'!C41)),"",'Datos Raw'!C42-'Datos Raw'!C41)</f>
        <v/>
      </c>
      <c r="D41">
        <f>IF(C41="","",(C41-AVERAGE($C$2:$C$62))/STDEV($C$2:$C$62))</f>
        <v/>
      </c>
    </row>
    <row r="42">
      <c r="A42">
        <f>'Datos Raw'!A43</f>
        <v/>
      </c>
      <c r="B42">
        <f>IF(OR(ISBLANK('Datos Raw'!B43),ISBLANK('Datos Raw'!B42)),"",(LN('Datos Raw'!B43/'Datos Raw'!B42)))</f>
        <v/>
      </c>
      <c r="C42">
        <f>IF(OR(ISBLANK('Datos Raw'!C43),ISBLANK('Datos Raw'!C42)),"",'Datos Raw'!C43-'Datos Raw'!C42)</f>
        <v/>
      </c>
      <c r="D42">
        <f>IF(C42="","",(C42-AVERAGE($C$2:$C$62))/STDEV($C$2:$C$62))</f>
        <v/>
      </c>
    </row>
    <row r="43">
      <c r="A43">
        <f>'Datos Raw'!A44</f>
        <v/>
      </c>
      <c r="B43">
        <f>IF(OR(ISBLANK('Datos Raw'!B44),ISBLANK('Datos Raw'!B43)),"",(LN('Datos Raw'!B44/'Datos Raw'!B43)))</f>
        <v/>
      </c>
      <c r="C43">
        <f>IF(OR(ISBLANK('Datos Raw'!C44),ISBLANK('Datos Raw'!C43)),"",'Datos Raw'!C44-'Datos Raw'!C43)</f>
        <v/>
      </c>
      <c r="D43">
        <f>IF(C43="","",(C43-AVERAGE($C$2:$C$62))/STDEV($C$2:$C$62))</f>
        <v/>
      </c>
    </row>
    <row r="44">
      <c r="A44">
        <f>'Datos Raw'!A45</f>
        <v/>
      </c>
      <c r="B44">
        <f>IF(OR(ISBLANK('Datos Raw'!B45),ISBLANK('Datos Raw'!B44)),"",(LN('Datos Raw'!B45/'Datos Raw'!B44)))</f>
        <v/>
      </c>
      <c r="C44">
        <f>IF(OR(ISBLANK('Datos Raw'!C45),ISBLANK('Datos Raw'!C44)),"",'Datos Raw'!C45-'Datos Raw'!C44)</f>
        <v/>
      </c>
      <c r="D44">
        <f>IF(C44="","",(C44-AVERAGE($C$2:$C$62))/STDEV($C$2:$C$62))</f>
        <v/>
      </c>
    </row>
    <row r="45">
      <c r="A45">
        <f>'Datos Raw'!A46</f>
        <v/>
      </c>
      <c r="B45">
        <f>IF(OR(ISBLANK('Datos Raw'!B46),ISBLANK('Datos Raw'!B45)),"",(LN('Datos Raw'!B46/'Datos Raw'!B45)))</f>
        <v/>
      </c>
      <c r="C45">
        <f>IF(OR(ISBLANK('Datos Raw'!C46),ISBLANK('Datos Raw'!C45)),"",'Datos Raw'!C46-'Datos Raw'!C45)</f>
        <v/>
      </c>
      <c r="D45">
        <f>IF(C45="","",(C45-AVERAGE($C$2:$C$62))/STDEV($C$2:$C$62))</f>
        <v/>
      </c>
    </row>
    <row r="46">
      <c r="A46">
        <f>'Datos Raw'!A47</f>
        <v/>
      </c>
      <c r="B46">
        <f>IF(OR(ISBLANK('Datos Raw'!B47),ISBLANK('Datos Raw'!B46)),"",(LN('Datos Raw'!B47/'Datos Raw'!B46)))</f>
        <v/>
      </c>
      <c r="C46">
        <f>IF(OR(ISBLANK('Datos Raw'!C47),ISBLANK('Datos Raw'!C46)),"",'Datos Raw'!C47-'Datos Raw'!C46)</f>
        <v/>
      </c>
      <c r="D46">
        <f>IF(C46="","",(C46-AVERAGE($C$2:$C$62))/STDEV($C$2:$C$62))</f>
        <v/>
      </c>
    </row>
    <row r="47">
      <c r="A47">
        <f>'Datos Raw'!A48</f>
        <v/>
      </c>
      <c r="B47">
        <f>IF(OR(ISBLANK('Datos Raw'!B48),ISBLANK('Datos Raw'!B47)),"",(LN('Datos Raw'!B48/'Datos Raw'!B47)))</f>
        <v/>
      </c>
      <c r="C47">
        <f>IF(OR(ISBLANK('Datos Raw'!C48),ISBLANK('Datos Raw'!C47)),"",'Datos Raw'!C48-'Datos Raw'!C47)</f>
        <v/>
      </c>
      <c r="D47">
        <f>IF(C47="","",(C47-AVERAGE($C$2:$C$62))/STDEV($C$2:$C$62))</f>
        <v/>
      </c>
    </row>
    <row r="48">
      <c r="A48">
        <f>'Datos Raw'!A49</f>
        <v/>
      </c>
      <c r="B48">
        <f>IF(OR(ISBLANK('Datos Raw'!B49),ISBLANK('Datos Raw'!B48)),"",(LN('Datos Raw'!B49/'Datos Raw'!B48)))</f>
        <v/>
      </c>
      <c r="C48">
        <f>IF(OR(ISBLANK('Datos Raw'!C49),ISBLANK('Datos Raw'!C48)),"",'Datos Raw'!C49-'Datos Raw'!C48)</f>
        <v/>
      </c>
      <c r="D48">
        <f>IF(C48="","",(C48-AVERAGE($C$2:$C$62))/STDEV($C$2:$C$62))</f>
        <v/>
      </c>
    </row>
    <row r="49">
      <c r="A49">
        <f>'Datos Raw'!A50</f>
        <v/>
      </c>
      <c r="B49">
        <f>IF(OR(ISBLANK('Datos Raw'!B50),ISBLANK('Datos Raw'!B49)),"",(LN('Datos Raw'!B50/'Datos Raw'!B49)))</f>
        <v/>
      </c>
      <c r="C49">
        <f>IF(OR(ISBLANK('Datos Raw'!C50),ISBLANK('Datos Raw'!C49)),"",'Datos Raw'!C50-'Datos Raw'!C49)</f>
        <v/>
      </c>
      <c r="D49">
        <f>IF(C49="","",(C49-AVERAGE($C$2:$C$62))/STDEV($C$2:$C$62))</f>
        <v/>
      </c>
    </row>
    <row r="50">
      <c r="A50">
        <f>'Datos Raw'!A51</f>
        <v/>
      </c>
      <c r="B50">
        <f>IF(OR(ISBLANK('Datos Raw'!B51),ISBLANK('Datos Raw'!B50)),"",(LN('Datos Raw'!B51/'Datos Raw'!B50)))</f>
        <v/>
      </c>
      <c r="C50">
        <f>IF(OR(ISBLANK('Datos Raw'!C51),ISBLANK('Datos Raw'!C50)),"",'Datos Raw'!C51-'Datos Raw'!C50)</f>
        <v/>
      </c>
      <c r="D50">
        <f>IF(C50="","",(C50-AVERAGE($C$2:$C$62))/STDEV($C$2:$C$62))</f>
        <v/>
      </c>
    </row>
    <row r="51">
      <c r="A51">
        <f>'Datos Raw'!A52</f>
        <v/>
      </c>
      <c r="B51">
        <f>IF(OR(ISBLANK('Datos Raw'!B52),ISBLANK('Datos Raw'!B51)),"",(LN('Datos Raw'!B52/'Datos Raw'!B51)))</f>
        <v/>
      </c>
      <c r="C51">
        <f>IF(OR(ISBLANK('Datos Raw'!C52),ISBLANK('Datos Raw'!C51)),"",'Datos Raw'!C52-'Datos Raw'!C51)</f>
        <v/>
      </c>
      <c r="D51">
        <f>IF(C51="","",(C51-AVERAGE($C$2:$C$62))/STDEV($C$2:$C$62))</f>
        <v/>
      </c>
    </row>
    <row r="52">
      <c r="A52">
        <f>'Datos Raw'!A53</f>
        <v/>
      </c>
      <c r="B52">
        <f>IF(OR(ISBLANK('Datos Raw'!B53),ISBLANK('Datos Raw'!B52)),"",(LN('Datos Raw'!B53/'Datos Raw'!B52)))</f>
        <v/>
      </c>
      <c r="C52">
        <f>IF(OR(ISBLANK('Datos Raw'!C53),ISBLANK('Datos Raw'!C52)),"",'Datos Raw'!C53-'Datos Raw'!C52)</f>
        <v/>
      </c>
      <c r="D52">
        <f>IF(C52="","",(C52-AVERAGE($C$2:$C$62))/STDEV($C$2:$C$62))</f>
        <v/>
      </c>
    </row>
    <row r="53">
      <c r="A53">
        <f>'Datos Raw'!A54</f>
        <v/>
      </c>
      <c r="B53">
        <f>IF(OR(ISBLANK('Datos Raw'!B54),ISBLANK('Datos Raw'!B53)),"",(LN('Datos Raw'!B54/'Datos Raw'!B53)))</f>
        <v/>
      </c>
      <c r="C53">
        <f>IF(OR(ISBLANK('Datos Raw'!C54),ISBLANK('Datos Raw'!C53)),"",'Datos Raw'!C54-'Datos Raw'!C53)</f>
        <v/>
      </c>
      <c r="D53">
        <f>IF(C53="","",(C53-AVERAGE($C$2:$C$62))/STDEV($C$2:$C$62))</f>
        <v/>
      </c>
    </row>
    <row r="54">
      <c r="A54">
        <f>'Datos Raw'!A55</f>
        <v/>
      </c>
      <c r="B54">
        <f>IF(OR(ISBLANK('Datos Raw'!B55),ISBLANK('Datos Raw'!B54)),"",(LN('Datos Raw'!B55/'Datos Raw'!B54)))</f>
        <v/>
      </c>
      <c r="C54">
        <f>IF(OR(ISBLANK('Datos Raw'!C55),ISBLANK('Datos Raw'!C54)),"",'Datos Raw'!C55-'Datos Raw'!C54)</f>
        <v/>
      </c>
      <c r="D54">
        <f>IF(C54="","",(C54-AVERAGE($C$2:$C$62))/STDEV($C$2:$C$62))</f>
        <v/>
      </c>
    </row>
    <row r="55">
      <c r="A55">
        <f>'Datos Raw'!A56</f>
        <v/>
      </c>
      <c r="B55">
        <f>IF(OR(ISBLANK('Datos Raw'!B56),ISBLANK('Datos Raw'!B55)),"",(LN('Datos Raw'!B56/'Datos Raw'!B55)))</f>
        <v/>
      </c>
      <c r="C55">
        <f>IF(OR(ISBLANK('Datos Raw'!C56),ISBLANK('Datos Raw'!C55)),"",'Datos Raw'!C56-'Datos Raw'!C55)</f>
        <v/>
      </c>
      <c r="D55">
        <f>IF(C55="","",(C55-AVERAGE($C$2:$C$62))/STDEV($C$2:$C$62))</f>
        <v/>
      </c>
    </row>
    <row r="56">
      <c r="A56">
        <f>'Datos Raw'!A57</f>
        <v/>
      </c>
      <c r="B56">
        <f>IF(OR(ISBLANK('Datos Raw'!B57),ISBLANK('Datos Raw'!B56)),"",(LN('Datos Raw'!B57/'Datos Raw'!B56)))</f>
        <v/>
      </c>
      <c r="C56">
        <f>IF(OR(ISBLANK('Datos Raw'!C57),ISBLANK('Datos Raw'!C56)),"",'Datos Raw'!C57-'Datos Raw'!C56)</f>
        <v/>
      </c>
      <c r="D56">
        <f>IF(C56="","",(C56-AVERAGE($C$2:$C$62))/STDEV($C$2:$C$62))</f>
        <v/>
      </c>
    </row>
    <row r="57">
      <c r="A57">
        <f>'Datos Raw'!A58</f>
        <v/>
      </c>
      <c r="B57">
        <f>IF(OR(ISBLANK('Datos Raw'!B58),ISBLANK('Datos Raw'!B57)),"",(LN('Datos Raw'!B58/'Datos Raw'!B57)))</f>
        <v/>
      </c>
      <c r="C57">
        <f>IF(OR(ISBLANK('Datos Raw'!C58),ISBLANK('Datos Raw'!C57)),"",'Datos Raw'!C58-'Datos Raw'!C57)</f>
        <v/>
      </c>
      <c r="D57">
        <f>IF(C57="","",(C57-AVERAGE($C$2:$C$62))/STDEV($C$2:$C$62))</f>
        <v/>
      </c>
    </row>
    <row r="58">
      <c r="A58">
        <f>'Datos Raw'!A59</f>
        <v/>
      </c>
      <c r="B58">
        <f>IF(OR(ISBLANK('Datos Raw'!B59),ISBLANK('Datos Raw'!B58)),"",(LN('Datos Raw'!B59/'Datos Raw'!B58)))</f>
        <v/>
      </c>
      <c r="C58">
        <f>IF(OR(ISBLANK('Datos Raw'!C59),ISBLANK('Datos Raw'!C58)),"",'Datos Raw'!C59-'Datos Raw'!C58)</f>
        <v/>
      </c>
      <c r="D58">
        <f>IF(C58="","",(C58-AVERAGE($C$2:$C$62))/STDEV($C$2:$C$62))</f>
        <v/>
      </c>
    </row>
    <row r="59">
      <c r="A59">
        <f>'Datos Raw'!A60</f>
        <v/>
      </c>
      <c r="B59">
        <f>IF(OR(ISBLANK('Datos Raw'!B60),ISBLANK('Datos Raw'!B59)),"",(LN('Datos Raw'!B60/'Datos Raw'!B59)))</f>
        <v/>
      </c>
      <c r="C59">
        <f>IF(OR(ISBLANK('Datos Raw'!C60),ISBLANK('Datos Raw'!C59)),"",'Datos Raw'!C60-'Datos Raw'!C59)</f>
        <v/>
      </c>
      <c r="D59">
        <f>IF(C59="","",(C59-AVERAGE($C$2:$C$62))/STDEV($C$2:$C$62))</f>
        <v/>
      </c>
    </row>
    <row r="60">
      <c r="A60">
        <f>'Datos Raw'!A61</f>
        <v/>
      </c>
      <c r="B60">
        <f>IF(OR(ISBLANK('Datos Raw'!B61),ISBLANK('Datos Raw'!B60)),"",(LN('Datos Raw'!B61/'Datos Raw'!B60)))</f>
        <v/>
      </c>
      <c r="C60">
        <f>IF(OR(ISBLANK('Datos Raw'!C61),ISBLANK('Datos Raw'!C60)),"",'Datos Raw'!C61-'Datos Raw'!C60)</f>
        <v/>
      </c>
      <c r="D60">
        <f>IF(C60="","",(C60-AVERAGE($C$2:$C$62))/STDEV($C$2:$C$62))</f>
        <v/>
      </c>
    </row>
    <row r="61">
      <c r="A61">
        <f>'Datos Raw'!A62</f>
        <v/>
      </c>
      <c r="B61">
        <f>IF(OR(ISBLANK('Datos Raw'!B62),ISBLANK('Datos Raw'!B61)),"",(LN('Datos Raw'!B62/'Datos Raw'!B61)))</f>
        <v/>
      </c>
      <c r="C61">
        <f>IF(OR(ISBLANK('Datos Raw'!C62),ISBLANK('Datos Raw'!C61)),"",'Datos Raw'!C62-'Datos Raw'!C61)</f>
        <v/>
      </c>
      <c r="D61">
        <f>IF(C61="","",(C61-AVERAGE($C$2:$C$62))/STDEV($C$2:$C$62))</f>
        <v/>
      </c>
    </row>
    <row r="62">
      <c r="A62">
        <f>'Datos Raw'!A63</f>
        <v/>
      </c>
      <c r="B62">
        <f>IF(OR(ISBLANK('Datos Raw'!B63),ISBLANK('Datos Raw'!B62)),"",(LN('Datos Raw'!B63/'Datos Raw'!B62)))</f>
        <v/>
      </c>
      <c r="C62">
        <f>IF(OR(ISBLANK('Datos Raw'!C63),ISBLANK('Datos Raw'!C62)),"",'Datos Raw'!C63-'Datos Raw'!C62)</f>
        <v/>
      </c>
      <c r="D62">
        <f>IF(C62="","",(C62-AVERAGE($C$2:$C$62))/STDEV($C$2:$C$62))</f>
        <v/>
      </c>
    </row>
    <row r="65">
      <c r="A65" s="2" t="inlineStr">
        <is>
          <t>RESULTADOS DE REGRESION</t>
        </is>
      </c>
    </row>
    <row r="66">
      <c r="A66" s="3" t="inlineStr">
        <is>
          <t>Beta (b) ISM PMI:</t>
        </is>
      </c>
      <c r="B66">
        <f>SLOPE(B2:B62,C2:C62)</f>
        <v/>
      </c>
    </row>
    <row r="67">
      <c r="A67" s="3" t="inlineStr">
        <is>
          <t>Alpha (a):</t>
        </is>
      </c>
      <c r="B67">
        <f>INTERCEPT(B2:B62,C2:C62)</f>
        <v/>
      </c>
    </row>
    <row r="68">
      <c r="A68" s="3" t="inlineStr">
        <is>
          <t>R2 (bondad ajuste):</t>
        </is>
      </c>
      <c r="B68">
        <f>RSQ(B2:B62,C2:C62)</f>
        <v/>
      </c>
    </row>
    <row r="69">
      <c r="A69" s="3" t="inlineStr">
        <is>
          <t>Correlacion:</t>
        </is>
      </c>
      <c r="B69">
        <f>CORREL(B2:B62,C2:C62)</f>
        <v/>
      </c>
    </row>
    <row r="70">
      <c r="A70" s="3" t="inlineStr">
        <is>
          <t>Observaciones:</t>
        </is>
      </c>
      <c r="B70" s="4" t="n">
        <v>61</v>
      </c>
    </row>
    <row r="71">
      <c r="A71" s="3" t="inlineStr">
        <is>
          <t>b placeholder modelo:</t>
        </is>
      </c>
      <c r="B71" s="4" t="n">
        <v>0.04</v>
      </c>
    </row>
    <row r="73">
      <c r="A73" s="5" t="inlineStr">
        <is>
          <t>Interpretacion: por cada +1 punto de Delta PMI, EURUSD se mueve b% mensualmente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6" t="inlineStr">
        <is>
          <t>GUIA - Calibracion Beta ISM PMI vs EURUSD</t>
        </is>
      </c>
    </row>
    <row r="2">
      <c r="A2" s="7" t="inlineStr"/>
    </row>
    <row r="3">
      <c r="A3" s="8" t="inlineStr">
        <is>
          <t>PASO 1 - Descargar EURUSD mensual (Yahoo Finance)</t>
        </is>
      </c>
    </row>
    <row r="4">
      <c r="A4" s="7" t="inlineStr">
        <is>
          <t xml:space="preserve">  1. finance.yahoo.com → buscar simbolo: EURUSD=X</t>
        </is>
      </c>
    </row>
    <row r="5">
      <c r="A5" s="7" t="inlineStr">
        <is>
          <t xml:space="preserve">  2. Historical Data → rango 2020-2025 → frecuencia Monthly → Download</t>
        </is>
      </c>
    </row>
    <row r="6">
      <c r="A6" s="7" t="inlineStr">
        <is>
          <t xml:space="preserve">  3. Copiar columna Close en hoja Datos Raw, columna B (desde fila 2)</t>
        </is>
      </c>
    </row>
    <row r="7">
      <c r="A7" s="7" t="inlineStr"/>
    </row>
    <row r="8">
      <c r="A8" s="8" t="inlineStr">
        <is>
          <t>PASO 2 - Descargar ISM PMI USA (FRED)</t>
        </is>
      </c>
    </row>
    <row r="9">
      <c r="A9" s="7" t="inlineStr">
        <is>
          <t xml:space="preserve">  1. fred.stlouisfed.org → buscar serie: NAPM</t>
        </is>
      </c>
    </row>
    <row r="10">
      <c r="A10" s="7" t="inlineStr">
        <is>
          <t xml:space="preserve">  2. Download Data → CSV → frecuencia mensual</t>
        </is>
      </c>
    </row>
    <row r="11">
      <c r="A11" s="7" t="inlineStr">
        <is>
          <t xml:space="preserve">  3. Copiar valores en Datos Raw columna C (mismas fechas que EURUSD)</t>
        </is>
      </c>
    </row>
    <row r="12">
      <c r="A12" s="7" t="inlineStr"/>
    </row>
    <row r="13">
      <c r="A13" s="8" t="inlineStr">
        <is>
          <t>PASO 3 - Leer resultados</t>
        </is>
      </c>
    </row>
    <row r="14">
      <c r="A14" s="7" t="inlineStr">
        <is>
          <t xml:space="preserve">  La hoja Calculos se actualiza automaticamente.</t>
        </is>
      </c>
    </row>
    <row r="15">
      <c r="A15" s="7" t="inlineStr">
        <is>
          <t xml:space="preserve">  Ver seccion RESULTADOS DE REGRESION (desde fila 65).</t>
        </is>
      </c>
    </row>
    <row r="16">
      <c r="A16" s="7" t="inlineStr"/>
    </row>
    <row r="17">
      <c r="A17" s="9" t="inlineStr">
        <is>
          <t>CRITERIOS DE ACEPTACION</t>
        </is>
      </c>
    </row>
    <row r="18">
      <c r="A18" s="7" t="inlineStr">
        <is>
          <t xml:space="preserve">  R2 &gt; 0.03  →  el PMI explica algo del movimiento (para 1 variable es razonable)</t>
        </is>
      </c>
    </row>
    <row r="19">
      <c r="A19" s="7" t="inlineStr">
        <is>
          <t xml:space="preserve">  b placeholder en modelo Polaris = 0.04  →  comparar con resultado</t>
        </is>
      </c>
    </row>
    <row r="20">
      <c r="A20" s="7" t="inlineStr">
        <is>
          <t xml:space="preserve">  Si b muy diferente → actualizar src/lib/endogenousBetas.js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2026-05-14T16:39:17Z</dcterms:created>
  <dcterms:modified xsi:type="dcterms:W3CDTF">2026-05-14T16:39:17Z</dcterms:modified>
</cp:coreProperties>
</file>